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资产&amp;负债结构分析" sheetId="1" r:id="rId1"/>
    <sheet name="(经营性&amp;金融性)资产&amp;负债结构分析" sheetId="2" r:id="rId2"/>
    <sheet name="利润&amp;现金流结构分析" sheetId="3" r:id="rId3"/>
    <sheet name="综合实力分析" sheetId="4" r:id="rId4"/>
    <sheet name="资产负债表分析视角" sheetId="5" r:id="rId5"/>
    <sheet name="敏感性分析" sheetId="6" r:id="rId6"/>
    <sheet name="资产负债表分析(优化版)" sheetId="7" r:id="rId7"/>
    <sheet name="利润&amp;现金流分析(优化版)" sheetId="8" r:id="rId8"/>
    <sheet name="综合实力分析(优化版)" sheetId="9" r:id="rId9"/>
    <sheet name="敏感性分析(优化版)" sheetId="10" r:id="rId10"/>
  </sheets>
  <calcPr calcId="124519" fullCalcOnLoad="1"/>
</workbook>
</file>

<file path=xl/sharedStrings.xml><?xml version="1.0" encoding="utf-8"?>
<sst xmlns="http://schemas.openxmlformats.org/spreadsheetml/2006/main" count="594" uniqueCount="243">
  <si>
    <t>2023</t>
  </si>
  <si>
    <t>2022</t>
  </si>
  <si>
    <t>2021</t>
  </si>
  <si>
    <t>项目</t>
  </si>
  <si>
    <t>流动资产</t>
  </si>
  <si>
    <t>货币资金</t>
  </si>
  <si>
    <t>应收账款</t>
  </si>
  <si>
    <t>存货</t>
  </si>
  <si>
    <t>非流动资产</t>
  </si>
  <si>
    <t>固定资产</t>
  </si>
  <si>
    <t>经营性资产</t>
  </si>
  <si>
    <t>经营性负债</t>
  </si>
  <si>
    <t>应付票据</t>
  </si>
  <si>
    <t>应付账款</t>
  </si>
  <si>
    <t>应收票据</t>
  </si>
  <si>
    <t>预收款项</t>
  </si>
  <si>
    <t>应付职工薪酬</t>
  </si>
  <si>
    <t>预付款项</t>
  </si>
  <si>
    <t>应交税费</t>
  </si>
  <si>
    <t>合同负债</t>
  </si>
  <si>
    <t>无形资产</t>
  </si>
  <si>
    <t>递延所得税负债</t>
  </si>
  <si>
    <t>金融性资产
（投资性资产）</t>
  </si>
  <si>
    <t>交易性金融资产</t>
  </si>
  <si>
    <t>递延收益-非流动负债</t>
  </si>
  <si>
    <t>长期股权投资</t>
  </si>
  <si>
    <t>金融性负债</t>
  </si>
  <si>
    <t>应付利息</t>
  </si>
  <si>
    <t>持有至到期投资</t>
  </si>
  <si>
    <t>应付股利</t>
  </si>
  <si>
    <t>投资性房地产</t>
  </si>
  <si>
    <t>应付债券</t>
  </si>
  <si>
    <t>长期应收款</t>
  </si>
  <si>
    <t>交易性金融负债</t>
  </si>
  <si>
    <t>应收利息</t>
  </si>
  <si>
    <t>长期应付款合计</t>
  </si>
  <si>
    <t>应收股利</t>
  </si>
  <si>
    <t>长期借款</t>
  </si>
  <si>
    <t>递延所得税资产</t>
  </si>
  <si>
    <t>短期借款</t>
  </si>
  <si>
    <t>一年内到期的非流动资产</t>
  </si>
  <si>
    <t>一年内到期的非流动负债</t>
  </si>
  <si>
    <t>其他非流动资产</t>
  </si>
  <si>
    <t>负债合计</t>
  </si>
  <si>
    <t>资产合计</t>
  </si>
  <si>
    <t>股东权益合计</t>
  </si>
  <si>
    <t>资产比率</t>
  </si>
  <si>
    <t>经营性资产占总资产比率</t>
  </si>
  <si>
    <t>负债比率</t>
  </si>
  <si>
    <t>经营性负债占总负债比率</t>
  </si>
  <si>
    <t>金融性资产占总资产比率</t>
  </si>
  <si>
    <t>金融性负债占总负债比率</t>
  </si>
  <si>
    <t>分项</t>
  </si>
  <si>
    <t>营业总收入</t>
  </si>
  <si>
    <t>经营现金流</t>
  </si>
  <si>
    <t>营业收入</t>
  </si>
  <si>
    <t>营业成本</t>
  </si>
  <si>
    <t>经营活动产生的现金流量净额</t>
  </si>
  <si>
    <t>资本性支出</t>
  </si>
  <si>
    <t>营业总成本</t>
  </si>
  <si>
    <t>投资现金流</t>
  </si>
  <si>
    <t>核心利润</t>
  </si>
  <si>
    <t>税金及附加</t>
  </si>
  <si>
    <t>投资支付的现金</t>
  </si>
  <si>
    <t>持续经营净利润</t>
  </si>
  <si>
    <t>销售费用</t>
  </si>
  <si>
    <t>投资活动产生的现金流量净额</t>
  </si>
  <si>
    <t>管理费用</t>
  </si>
  <si>
    <t>筹资现金流</t>
  </si>
  <si>
    <t>研发费用</t>
  </si>
  <si>
    <t>吸收投资收到的现金</t>
  </si>
  <si>
    <t>财务费用</t>
  </si>
  <si>
    <t>取得借款收到的现金</t>
  </si>
  <si>
    <t>资产减值损失</t>
  </si>
  <si>
    <t>偿还债务支付的现金</t>
  </si>
  <si>
    <t>信用减值损失</t>
  </si>
  <si>
    <t>分配股利、利润或偿付利息支付的现金</t>
  </si>
  <si>
    <t>其他收益</t>
  </si>
  <si>
    <t>支付其他与筹资活动有关的现金</t>
  </si>
  <si>
    <t>投资收益</t>
  </si>
  <si>
    <t>筹资活动产生的现金流量净额</t>
  </si>
  <si>
    <t>公允价值变动收益</t>
  </si>
  <si>
    <t>自由现金流</t>
  </si>
  <si>
    <t>资产处置收益</t>
  </si>
  <si>
    <t>DCF估值</t>
  </si>
  <si>
    <t>基准FCF(最近一年)</t>
  </si>
  <si>
    <t>营业外收入</t>
  </si>
  <si>
    <t>折现率(r)</t>
  </si>
  <si>
    <t>营业外支出</t>
  </si>
  <si>
    <t>永续年金增长率(g)</t>
  </si>
  <si>
    <t>FCF增长率(G)</t>
  </si>
  <si>
    <t>毛利</t>
  </si>
  <si>
    <t>总股本</t>
  </si>
  <si>
    <t>毛利率</t>
  </si>
  <si>
    <t>第一年价值</t>
  </si>
  <si>
    <t>第二年价值</t>
  </si>
  <si>
    <t>核心利润率</t>
  </si>
  <si>
    <t>第三年价值</t>
  </si>
  <si>
    <t>核心利润获现率</t>
  </si>
  <si>
    <t>永续年金价值</t>
  </si>
  <si>
    <t>销售费用率</t>
  </si>
  <si>
    <t>永续经营三年后DCF价值</t>
  </si>
  <si>
    <t>管理费用率</t>
  </si>
  <si>
    <t>永续经营3年后企业股价</t>
  </si>
  <si>
    <t>营业外收入占比</t>
  </si>
  <si>
    <t>净利润营收占比</t>
  </si>
  <si>
    <t>唐朝估值</t>
  </si>
  <si>
    <t>净利润增长率</t>
  </si>
  <si>
    <t>无风险收益率(低估区域)</t>
  </si>
  <si>
    <t>无风险收益率(高估区域)</t>
  </si>
  <si>
    <t>低估买入点</t>
  </si>
  <si>
    <t>再打个7折</t>
  </si>
  <si>
    <t>高估卖出点</t>
  </si>
  <si>
    <t>杠杆分析</t>
  </si>
  <si>
    <t>经营杠杆(DOL)</t>
  </si>
  <si>
    <t>-</t>
  </si>
  <si>
    <t>财务杠杆(DFL)</t>
  </si>
  <si>
    <t>总杠杆(DTL)</t>
  </si>
  <si>
    <t>综合实力分析</t>
  </si>
  <si>
    <t>盈利能力</t>
  </si>
  <si>
    <t>ROE(净资产收益率)</t>
  </si>
  <si>
    <t>ROA(总资产收益率)</t>
  </si>
  <si>
    <t>资产总计</t>
  </si>
  <si>
    <t>科目</t>
  </si>
  <si>
    <t>流动资产合计</t>
  </si>
  <si>
    <t>非流动资产合计</t>
  </si>
  <si>
    <t>流动负债合计</t>
  </si>
  <si>
    <t>非流动负债合计</t>
  </si>
  <si>
    <t>所有者权益合计</t>
  </si>
  <si>
    <t>敏感性分析 - 可编辑参数</t>
  </si>
  <si>
    <t>参数名称</t>
  </si>
  <si>
    <t>参数值</t>
  </si>
  <si>
    <t>说明</t>
  </si>
  <si>
    <t>DCF估值使用</t>
  </si>
  <si>
    <t>永续增长率(g)</t>
  </si>
  <si>
    <t>唐朝估值使用</t>
  </si>
  <si>
    <t>无风险收益率(低估)</t>
  </si>
  <si>
    <t>无风险收益率(高估)</t>
  </si>
  <si>
    <t>基础数据（最近一年）</t>
  </si>
  <si>
    <t>数据项</t>
  </si>
  <si>
    <t>数值</t>
  </si>
  <si>
    <t>单位</t>
  </si>
  <si>
    <t>自由现金流(FCF)</t>
  </si>
  <si>
    <t>元</t>
  </si>
  <si>
    <t>净利润</t>
  </si>
  <si>
    <t>股</t>
  </si>
  <si>
    <t>估值结果（自动计算）</t>
  </si>
  <si>
    <t>估值方法</t>
  </si>
  <si>
    <t>估值结果</t>
  </si>
  <si>
    <t>DCF企业价值</t>
  </si>
  <si>
    <t>DCF每股价值</t>
  </si>
  <si>
    <t>元/股</t>
  </si>
  <si>
    <t>唐朝低估价</t>
  </si>
  <si>
    <t>唐朝高估价</t>
  </si>
  <si>
    <t>唐朝安全边际价</t>
  </si>
  <si>
    <t>使用说明</t>
  </si>
  <si>
    <t>1. 直接修改上方参数值，估值结果会自动更新 ✅</t>
  </si>
  <si>
    <t>2. 参数说明：</t>
  </si>
  <si>
    <t xml:space="preserve">   - 折现率：反映投资风险，通常8%-12%</t>
  </si>
  <si>
    <t xml:space="preserve">   - 永续增长率：长期稳定增长率，通常2%-5%</t>
  </si>
  <si>
    <t xml:space="preserve">   - FCF增长率：自由现金流增长率</t>
  </si>
  <si>
    <t xml:space="preserve">   - 净利润增长率：用于唐朝估值法</t>
  </si>
  <si>
    <t>【601318.SH】财务分析报告</t>
  </si>
  <si>
    <t>工作表: 资产负债表分析  |  生成时间: 2026-02-11 16:15</t>
  </si>
  <si>
    <t>【资产】</t>
  </si>
  <si>
    <t>分类</t>
  </si>
  <si>
    <t>财务指标</t>
  </si>
  <si>
    <t>2023年</t>
  </si>
  <si>
    <t>2022年</t>
  </si>
  <si>
    <t>2021年</t>
  </si>
  <si>
    <t>企业可随时支配的现金</t>
  </si>
  <si>
    <t>应收取的销售款项</t>
  </si>
  <si>
    <t>原材料、产成品等</t>
  </si>
  <si>
    <t>房屋、设备等长期资产</t>
  </si>
  <si>
    <t>专利权、商标权等</t>
  </si>
  <si>
    <t>合计</t>
  </si>
  <si>
    <t>企业全部资源</t>
  </si>
  <si>
    <t>【负债】</t>
  </si>
  <si>
    <t>流动负债</t>
  </si>
  <si>
    <t>非流动负债</t>
  </si>
  <si>
    <t>企业全部债务</t>
  </si>
  <si>
    <t>权益</t>
  </si>
  <si>
    <t>净资产</t>
  </si>
  <si>
    <t>【结构分析】</t>
  </si>
  <si>
    <t>资产结构</t>
  </si>
  <si>
    <t>经营性资产占比</t>
  </si>
  <si>
    <t>%</t>
  </si>
  <si>
    <t>金融性资产占比</t>
  </si>
  <si>
    <t>负债结构</t>
  </si>
  <si>
    <t>经营性负债占比</t>
  </si>
  <si>
    <t>金融性负债占比</t>
  </si>
  <si>
    <t>工作表: 利润&amp;现金流分析  |  生成时间: 2026-02-11 16:15</t>
  </si>
  <si>
    <t>【利润表】</t>
  </si>
  <si>
    <t>收入</t>
  </si>
  <si>
    <t>主营业务收入</t>
  </si>
  <si>
    <t>成本</t>
  </si>
  <si>
    <t>直接成本</t>
  </si>
  <si>
    <t>费用</t>
  </si>
  <si>
    <t>销售过程费用</t>
  </si>
  <si>
    <t>管理活动费用</t>
  </si>
  <si>
    <t>利息支出净额</t>
  </si>
  <si>
    <t>利润</t>
  </si>
  <si>
    <t>营业利润</t>
  </si>
  <si>
    <t>最终利润</t>
  </si>
  <si>
    <t>扣除非经常性损益</t>
  </si>
  <si>
    <t>【财务比率】</t>
  </si>
  <si>
    <t>产品盈利能力</t>
  </si>
  <si>
    <t>净利润率</t>
  </si>
  <si>
    <t>【杠杆分析】</t>
  </si>
  <si>
    <t>杠杆</t>
  </si>
  <si>
    <t>倍</t>
  </si>
  <si>
    <t>&gt;1表示正向放大</t>
  </si>
  <si>
    <t>接近1表示低风险</t>
  </si>
  <si>
    <t>综合杠杆效应</t>
  </si>
  <si>
    <t>【现金流量表】</t>
  </si>
  <si>
    <t>经营活动</t>
  </si>
  <si>
    <t>经营现金净额</t>
  </si>
  <si>
    <t>投资活动</t>
  </si>
  <si>
    <t>筹资活动</t>
  </si>
  <si>
    <t>资本支出</t>
  </si>
  <si>
    <t>购建固定资产、无形资产和其他长期资产支付的现金</t>
  </si>
  <si>
    <t>工作表: 综合实力分析  |  生成时间: 2026-02-11 16:15</t>
  </si>
  <si>
    <t>【盈利能力】</t>
  </si>
  <si>
    <t>股东回报率</t>
  </si>
  <si>
    <t>资产使用效率</t>
  </si>
  <si>
    <t>【偿债能力】</t>
  </si>
  <si>
    <t>偿债能力</t>
  </si>
  <si>
    <t>资产负债率</t>
  </si>
  <si>
    <t>负债/资产，&lt;60%较安全</t>
  </si>
  <si>
    <t>【关键指标】</t>
  </si>
  <si>
    <t>资产</t>
  </si>
  <si>
    <t>现金流</t>
  </si>
  <si>
    <t>工作表: 敏感性分析  |  生成时间: 2026-02-11 16:15</t>
  </si>
  <si>
    <t>可编辑参数</t>
  </si>
  <si>
    <t>用于计算低估PE倍数</t>
  </si>
  <si>
    <t>用于计算高估PE倍数</t>
  </si>
  <si>
    <t>经营现金流-资本支出</t>
  </si>
  <si>
    <t>公司发行的股票总数</t>
  </si>
  <si>
    <t>估值结果（基于上述参数计算）</t>
  </si>
  <si>
    <t>现金流折现价值</t>
  </si>
  <si>
    <t>企业价值/总股本</t>
  </si>
  <si>
    <t>保守买入价</t>
  </si>
  <si>
    <t>乐观卖出价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</si>
</sst>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sz val="9"/>
      <color rgb="FF7F7F7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0" fillId="0" borderId="1" xfId="0" applyNumberFormat="1" applyBorder="1"/>
    <xf numFmtId="165" fontId="2" fillId="4" borderId="1" xfId="0" applyNumberFormat="1" applyFont="1" applyFill="1" applyBorder="1"/>
    <xf numFmtId="164" fontId="2" fillId="4" borderId="1" xfId="0" applyNumberFormat="1" applyFont="1" applyFill="1" applyBorder="1"/>
    <xf numFmtId="165" fontId="0" fillId="0" borderId="1" xfId="0" applyNumberFormat="1" applyBorder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6" width="30.7109375" customWidth="1"/>
    <col min="7" max="7" width="20.7109375" customWidth="1"/>
    <col min="8" max="8" width="35.7109375" customWidth="1"/>
    <col min="9" max="15" width="30.7109375" customWidth="1"/>
  </cols>
  <sheetData>
    <row r="1" spans="1:6" ht="22" customHeight="1"/>
    <row r="2" spans="1:6" ht="22" customHeight="1">
      <c r="D2" s="1" t="s">
        <v>0</v>
      </c>
      <c r="E2" s="1" t="s">
        <v>1</v>
      </c>
      <c r="F2" s="1" t="s">
        <v>2</v>
      </c>
    </row>
    <row r="3" spans="1:6" ht="22" customHeight="1">
      <c r="B3" s="2" t="s">
        <v>3</v>
      </c>
    </row>
    <row r="4" spans="1:6" ht="22" customHeight="1">
      <c r="A4" s="2" t="s">
        <v>4</v>
      </c>
      <c r="B4" t="s">
        <v>5</v>
      </c>
      <c r="D4" s="3">
        <f>'(经营性&amp;金融性)资产&amp;负债结构分析'!C4</f>
        <v>0</v>
      </c>
      <c r="E4" s="3">
        <f>'(经营性&amp;金融性)资产&amp;负债结构分析'!D4</f>
        <v>0</v>
      </c>
      <c r="F4" s="3">
        <f>'(经营性&amp;金融性)资产&amp;负债结构分析'!E4</f>
        <v>0</v>
      </c>
    </row>
    <row r="5" spans="1:6" ht="22" customHeight="1">
      <c r="A5" s="2" t="s">
        <v>4</v>
      </c>
      <c r="B5" t="s">
        <v>6</v>
      </c>
      <c r="D5" s="3">
        <f>'(经营性&amp;金融性)资产&amp;负债结构分析'!C7</f>
        <v>0</v>
      </c>
      <c r="E5" s="3">
        <f>'(经营性&amp;金融性)资产&amp;负债结构分析'!D7</f>
        <v>0</v>
      </c>
      <c r="F5" s="3">
        <f>'(经营性&amp;金融性)资产&amp;负债结构分析'!E7</f>
        <v>0</v>
      </c>
    </row>
    <row r="6" spans="1:6" ht="22" customHeight="1">
      <c r="A6" s="2" t="s">
        <v>4</v>
      </c>
      <c r="B6" t="s">
        <v>7</v>
      </c>
      <c r="D6" s="3">
        <f>'(经营性&amp;金融性)资产&amp;负债结构分析'!C9</f>
        <v>0</v>
      </c>
      <c r="E6" s="3">
        <f>'(经营性&amp;金融性)资产&amp;负债结构分析'!D9</f>
        <v>0</v>
      </c>
      <c r="F6" s="3">
        <f>'(经营性&amp;金融性)资产&amp;负债结构分析'!E9</f>
        <v>0</v>
      </c>
    </row>
    <row r="7" spans="1:6" ht="22" customHeight="1"/>
    <row r="8" spans="1:6" ht="22" customHeight="1"/>
    <row r="9" spans="1:6" ht="22" customHeight="1">
      <c r="A9" s="2" t="s">
        <v>8</v>
      </c>
      <c r="B9" t="s">
        <v>9</v>
      </c>
      <c r="D9" s="3">
        <f>'(经营性&amp;金融性)资产&amp;负债结构分析'!C5</f>
        <v>0</v>
      </c>
      <c r="E9" s="3">
        <f>'(经营性&amp;金融性)资产&amp;负债结构分析'!D5</f>
        <v>0</v>
      </c>
      <c r="F9" s="3">
        <f>'(经营性&amp;金融性)资产&amp;负债结构分析'!E5</f>
        <v>0</v>
      </c>
    </row>
    <row r="10" spans="1:6" ht="22" customHeight="1"/>
    <row r="11" spans="1:6" ht="22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cols>
    <col min="1" max="1" width="20.7109375" customWidth="1"/>
    <col min="2" max="2" width="35.7109375" customWidth="1"/>
    <col min="3" max="6" width="30.7109375" customWidth="1"/>
    <col min="7" max="7" width="20.7109375" customWidth="1"/>
    <col min="8" max="8" width="35.7109375" customWidth="1"/>
    <col min="9" max="15" width="30.7109375" customWidth="1"/>
  </cols>
  <sheetData>
    <row r="1" spans="1:11" ht="22" customHeight="1"/>
    <row r="2" spans="1:11" ht="22" customHeight="1">
      <c r="C2" s="1" t="s">
        <v>0</v>
      </c>
      <c r="D2" s="1" t="s">
        <v>1</v>
      </c>
      <c r="E2" s="1" t="s">
        <v>2</v>
      </c>
      <c r="H2" s="1" t="s">
        <v>3</v>
      </c>
      <c r="I2" s="1" t="s">
        <v>0</v>
      </c>
      <c r="J2" s="1" t="s">
        <v>1</v>
      </c>
      <c r="K2" s="1" t="s">
        <v>2</v>
      </c>
    </row>
    <row r="3" spans="1:11" ht="22" customHeight="1">
      <c r="B3" s="2" t="s">
        <v>3</v>
      </c>
      <c r="H3" s="2" t="s">
        <v>3</v>
      </c>
    </row>
    <row r="4" spans="1:11" ht="22" customHeight="1">
      <c r="A4" t="s">
        <v>10</v>
      </c>
      <c r="B4" t="s">
        <v>5</v>
      </c>
      <c r="C4" s="3">
        <v>577212000000</v>
      </c>
      <c r="D4" s="3">
        <v>613737000000</v>
      </c>
      <c r="E4" s="3">
        <v>535067000000</v>
      </c>
      <c r="G4" t="s">
        <v>11</v>
      </c>
      <c r="H4" t="s">
        <v>12</v>
      </c>
    </row>
    <row r="5" spans="1:11" ht="22" customHeight="1">
      <c r="A5" t="s">
        <v>10</v>
      </c>
      <c r="B5" t="s">
        <v>9</v>
      </c>
      <c r="C5" s="3">
        <v>47412000000</v>
      </c>
      <c r="D5" s="3">
        <v>49941000000</v>
      </c>
      <c r="E5" s="3">
        <v>45823000000</v>
      </c>
      <c r="G5" t="s">
        <v>11</v>
      </c>
      <c r="H5" t="s">
        <v>13</v>
      </c>
      <c r="I5" s="3">
        <v>8858000000</v>
      </c>
      <c r="J5" s="3">
        <v>10349000000</v>
      </c>
      <c r="K5" s="3">
        <v>6663000000</v>
      </c>
    </row>
    <row r="6" spans="1:11" ht="22" customHeight="1">
      <c r="A6" t="s">
        <v>10</v>
      </c>
      <c r="B6" t="s">
        <v>14</v>
      </c>
      <c r="G6" t="s">
        <v>11</v>
      </c>
      <c r="H6" t="s">
        <v>15</v>
      </c>
    </row>
    <row r="7" spans="1:11" ht="22" customHeight="1">
      <c r="A7" t="s">
        <v>10</v>
      </c>
      <c r="B7" t="s">
        <v>6</v>
      </c>
      <c r="C7" s="3">
        <v>35636000000</v>
      </c>
      <c r="D7" s="3">
        <v>36118000000</v>
      </c>
      <c r="E7" s="3">
        <v>26628000000</v>
      </c>
      <c r="G7" t="s">
        <v>11</v>
      </c>
      <c r="H7" t="s">
        <v>16</v>
      </c>
      <c r="I7" s="3">
        <v>49771000000</v>
      </c>
      <c r="J7" s="3">
        <v>47723000000</v>
      </c>
      <c r="K7" s="3">
        <v>45759000000</v>
      </c>
    </row>
    <row r="8" spans="1:11" ht="22" customHeight="1">
      <c r="A8" t="s">
        <v>10</v>
      </c>
      <c r="B8" t="s">
        <v>17</v>
      </c>
      <c r="G8" t="s">
        <v>11</v>
      </c>
      <c r="H8" t="s">
        <v>18</v>
      </c>
    </row>
    <row r="9" spans="1:11" ht="22" customHeight="1">
      <c r="A9" t="s">
        <v>10</v>
      </c>
      <c r="B9" t="s">
        <v>7</v>
      </c>
      <c r="G9" t="s">
        <v>11</v>
      </c>
      <c r="H9" t="s">
        <v>19</v>
      </c>
      <c r="I9" s="3">
        <v>4159801000000</v>
      </c>
      <c r="J9" s="3">
        <v>3671177000000</v>
      </c>
    </row>
    <row r="10" spans="1:11" ht="22" customHeight="1">
      <c r="A10" t="s">
        <v>10</v>
      </c>
      <c r="B10" t="s">
        <v>20</v>
      </c>
      <c r="C10" s="3">
        <v>32613000000</v>
      </c>
      <c r="D10" s="3">
        <v>33459000000</v>
      </c>
      <c r="E10" s="3">
        <v>29638000000</v>
      </c>
      <c r="G10" t="s">
        <v>11</v>
      </c>
      <c r="H10" t="s">
        <v>21</v>
      </c>
      <c r="I10" s="3">
        <v>14148000000</v>
      </c>
      <c r="J10" s="3">
        <v>14217000000</v>
      </c>
      <c r="K10" s="3">
        <v>13605000000</v>
      </c>
    </row>
    <row r="11" spans="1:11" ht="22" customHeight="1">
      <c r="A11" t="s">
        <v>22</v>
      </c>
      <c r="B11" t="s">
        <v>23</v>
      </c>
      <c r="C11" s="3">
        <v>1803047000000</v>
      </c>
      <c r="D11" s="3">
        <v>1640519000000</v>
      </c>
      <c r="E11" s="3">
        <v>1426677000000</v>
      </c>
      <c r="G11" t="s">
        <v>11</v>
      </c>
      <c r="H11" t="s">
        <v>24</v>
      </c>
    </row>
    <row r="12" spans="1:11" ht="22" customHeight="1">
      <c r="A12" t="s">
        <v>22</v>
      </c>
      <c r="B12" t="s">
        <v>25</v>
      </c>
      <c r="C12" s="3">
        <v>258877000000</v>
      </c>
      <c r="D12" s="3">
        <v>280793000000</v>
      </c>
      <c r="E12" s="3">
        <v>284061000000</v>
      </c>
      <c r="G12" t="s">
        <v>26</v>
      </c>
      <c r="H12" t="s">
        <v>27</v>
      </c>
    </row>
    <row r="13" spans="1:11" ht="22" customHeight="1">
      <c r="A13" t="s">
        <v>22</v>
      </c>
      <c r="B13" t="s">
        <v>28</v>
      </c>
      <c r="G13" t="s">
        <v>26</v>
      </c>
      <c r="H13" t="s">
        <v>29</v>
      </c>
    </row>
    <row r="14" spans="1:11" ht="22" customHeight="1">
      <c r="A14" t="s">
        <v>22</v>
      </c>
      <c r="B14" t="s">
        <v>30</v>
      </c>
      <c r="C14" s="3">
        <v>143755000000</v>
      </c>
      <c r="D14" s="3">
        <v>136655000000</v>
      </c>
      <c r="E14" s="3">
        <v>101690000000</v>
      </c>
      <c r="G14" t="s">
        <v>26</v>
      </c>
      <c r="H14" t="s">
        <v>31</v>
      </c>
      <c r="I14" s="3">
        <v>964007000000</v>
      </c>
      <c r="J14" s="3">
        <v>931098000000</v>
      </c>
      <c r="K14" s="3">
        <v>1097523000000</v>
      </c>
    </row>
    <row r="15" spans="1:11" ht="22" customHeight="1">
      <c r="A15" t="s">
        <v>22</v>
      </c>
      <c r="B15" t="s">
        <v>32</v>
      </c>
      <c r="C15" s="3">
        <v>180674000000</v>
      </c>
      <c r="D15" s="3">
        <v>186858000000</v>
      </c>
      <c r="E15" s="3">
        <v>200701000000</v>
      </c>
      <c r="G15" t="s">
        <v>26</v>
      </c>
      <c r="H15" t="s">
        <v>33</v>
      </c>
      <c r="I15" s="3">
        <v>48619000000</v>
      </c>
      <c r="J15" s="3">
        <v>84659000000</v>
      </c>
      <c r="K15" s="3">
        <v>57376000000</v>
      </c>
    </row>
    <row r="16" spans="1:11" ht="22" customHeight="1">
      <c r="A16" t="s">
        <v>22</v>
      </c>
      <c r="B16" t="s">
        <v>34</v>
      </c>
      <c r="G16" t="s">
        <v>26</v>
      </c>
      <c r="H16" t="s">
        <v>35</v>
      </c>
    </row>
    <row r="17" spans="1:11" ht="22" customHeight="1">
      <c r="A17" t="s">
        <v>22</v>
      </c>
      <c r="B17" t="s">
        <v>36</v>
      </c>
      <c r="G17" t="s">
        <v>26</v>
      </c>
      <c r="H17" t="s">
        <v>37</v>
      </c>
      <c r="I17" s="3">
        <v>135161000000</v>
      </c>
      <c r="J17" s="3">
        <v>151539000000</v>
      </c>
      <c r="K17" s="3">
        <v>171682000000</v>
      </c>
    </row>
    <row r="18" spans="1:11" ht="22" customHeight="1">
      <c r="A18" t="s">
        <v>22</v>
      </c>
      <c r="B18" t="s">
        <v>38</v>
      </c>
      <c r="C18" s="3">
        <v>101337000000</v>
      </c>
      <c r="D18" s="3">
        <v>89321000000</v>
      </c>
      <c r="E18" s="3">
        <v>65360000000</v>
      </c>
      <c r="G18" t="s">
        <v>26</v>
      </c>
      <c r="H18" t="s">
        <v>39</v>
      </c>
      <c r="I18" s="3">
        <v>93322000000</v>
      </c>
      <c r="J18" s="3">
        <v>121945000000</v>
      </c>
      <c r="K18" s="3">
        <v>116102000000</v>
      </c>
    </row>
    <row r="19" spans="1:11" ht="22" customHeight="1">
      <c r="A19" t="s">
        <v>22</v>
      </c>
      <c r="B19" t="s">
        <v>40</v>
      </c>
      <c r="G19" t="s">
        <v>26</v>
      </c>
      <c r="H19" t="s">
        <v>41</v>
      </c>
    </row>
    <row r="20" spans="1:11" ht="22" customHeight="1">
      <c r="A20" t="s">
        <v>22</v>
      </c>
      <c r="B20" t="s">
        <v>42</v>
      </c>
      <c r="H20" s="2" t="s">
        <v>43</v>
      </c>
      <c r="I20" s="3">
        <v>10354453000000</v>
      </c>
      <c r="J20" s="3">
        <v>9823944000000</v>
      </c>
      <c r="K20" s="3">
        <v>9064303000000</v>
      </c>
    </row>
    <row r="21" spans="1:11" ht="22" customHeight="1">
      <c r="B21" s="2" t="s">
        <v>44</v>
      </c>
      <c r="C21" s="3">
        <v>11583417000000</v>
      </c>
      <c r="D21" s="3">
        <v>11009940000000</v>
      </c>
      <c r="E21" s="3">
        <v>10142026000000</v>
      </c>
      <c r="H21" s="2" t="s">
        <v>45</v>
      </c>
      <c r="I21" s="3">
        <v>1228964000000</v>
      </c>
      <c r="J21" s="3">
        <v>1185996000000</v>
      </c>
      <c r="K21" s="3">
        <v>1077723000000</v>
      </c>
    </row>
    <row r="22" spans="1:11" ht="22" customHeight="1">
      <c r="A22" s="2" t="s">
        <v>46</v>
      </c>
      <c r="B22" s="2" t="s">
        <v>47</v>
      </c>
      <c r="C22" s="4">
        <f>IF(C21=0,0,SUM(C4:C10)/C21)</f>
        <v>0</v>
      </c>
      <c r="D22" s="4">
        <f>IF(D21=0,0,SUM(D4:D10)/D21)</f>
        <v>0</v>
      </c>
      <c r="E22" s="4">
        <f>IF(E21=0,0,SUM(E4:E10)/E21)</f>
        <v>0</v>
      </c>
      <c r="G22" s="2" t="s">
        <v>48</v>
      </c>
      <c r="H22" s="2" t="s">
        <v>49</v>
      </c>
      <c r="I22" s="4">
        <f>IF(I20=0,0,SUM(I4:I11)/I20)</f>
        <v>0</v>
      </c>
      <c r="J22" s="4">
        <f>IF(J20=0,0,SUM(J4:J11)/J20)</f>
        <v>0</v>
      </c>
      <c r="K22" s="4">
        <f>IF(K20=0,0,SUM(K4:K11)/K20)</f>
        <v>0</v>
      </c>
    </row>
    <row r="23" spans="1:11" ht="22" customHeight="1">
      <c r="A23" s="2" t="s">
        <v>46</v>
      </c>
      <c r="B23" s="2" t="s">
        <v>50</v>
      </c>
      <c r="C23" s="4">
        <f>IF(C21=0,0,SUM(C11:C19)/C21)</f>
        <v>0</v>
      </c>
      <c r="D23" s="4">
        <f>IF(D21=0,0,SUM(D11:D19)/D21)</f>
        <v>0</v>
      </c>
      <c r="E23" s="4">
        <f>IF(E21=0,0,SUM(E11:E19)/E21)</f>
        <v>0</v>
      </c>
      <c r="G23" s="2" t="s">
        <v>48</v>
      </c>
      <c r="H23" s="2" t="s">
        <v>51</v>
      </c>
      <c r="I23" s="4">
        <f>IF(I20=0,0,SUM(I12:I19)/I20)</f>
        <v>0</v>
      </c>
      <c r="J23" s="4">
        <f>IF(J20=0,0,SUM(J12:J19)/J20)</f>
        <v>0</v>
      </c>
      <c r="K23" s="4">
        <f>IF(K20=0,0,SUM(K12:K19)/K20)</f>
        <v>0</v>
      </c>
    </row>
    <row r="24" spans="1:11" ht="22" customHeight="1"/>
    <row r="25" spans="1:11" ht="22" customHeight="1"/>
    <row r="26" spans="1:11" ht="22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Q39"/>
  <sheetViews>
    <sheetView workbookViewId="0"/>
  </sheetViews>
  <sheetFormatPr defaultRowHeight="15"/>
  <cols>
    <col min="1" max="1" width="20.7109375" customWidth="1"/>
    <col min="2" max="2" width="35.7109375" customWidth="1"/>
    <col min="3" max="16" width="30.7109375" customWidth="1"/>
  </cols>
  <sheetData>
    <row r="1" spans="2:17" ht="22" customHeight="1"/>
    <row r="2" spans="2:17" ht="22" customHeight="1">
      <c r="B2" s="2" t="s">
        <v>3</v>
      </c>
      <c r="C2" s="1" t="s">
        <v>0</v>
      </c>
      <c r="D2" s="1" t="s">
        <v>1</v>
      </c>
      <c r="E2" s="1" t="s">
        <v>2</v>
      </c>
      <c r="I2" s="1" t="s">
        <v>0</v>
      </c>
      <c r="J2" s="1" t="s">
        <v>1</v>
      </c>
      <c r="K2" s="1" t="s">
        <v>2</v>
      </c>
      <c r="N2" s="2" t="s">
        <v>52</v>
      </c>
      <c r="O2" s="1" t="s">
        <v>0</v>
      </c>
      <c r="P2" s="1" t="s">
        <v>1</v>
      </c>
      <c r="Q2" s="1" t="s">
        <v>2</v>
      </c>
    </row>
    <row r="3" spans="2:17" ht="22" customHeight="1">
      <c r="B3" t="s">
        <v>53</v>
      </c>
      <c r="C3" s="3">
        <v>913789000000</v>
      </c>
      <c r="D3" s="3">
        <v>880355000000</v>
      </c>
      <c r="E3" s="3">
        <v>1180444000000</v>
      </c>
      <c r="G3" s="2" t="s">
        <v>54</v>
      </c>
      <c r="N3" t="s">
        <v>55</v>
      </c>
      <c r="O3" s="3">
        <f>C3</f>
        <v>0</v>
      </c>
      <c r="P3" s="3">
        <f>D3</f>
        <v>0</v>
      </c>
      <c r="Q3" s="3">
        <f>E3</f>
        <v>0</v>
      </c>
    </row>
    <row r="4" spans="2:17" ht="22" customHeight="1">
      <c r="B4" t="s">
        <v>56</v>
      </c>
      <c r="C4" s="3">
        <v>0</v>
      </c>
      <c r="D4" s="3">
        <v>0</v>
      </c>
      <c r="E4" s="3">
        <v>0</v>
      </c>
      <c r="H4" t="s">
        <v>57</v>
      </c>
      <c r="I4" s="3">
        <v>360403000000</v>
      </c>
      <c r="J4" s="3">
        <v>476776000000</v>
      </c>
      <c r="K4" s="3">
        <v>90116000000</v>
      </c>
      <c r="N4" t="s">
        <v>58</v>
      </c>
      <c r="O4" s="3">
        <f>I5</f>
        <v>0</v>
      </c>
      <c r="P4" s="3">
        <f>J5</f>
        <v>0</v>
      </c>
      <c r="Q4" s="3">
        <f>K5</f>
        <v>0</v>
      </c>
    </row>
    <row r="5" spans="2:17" ht="22" customHeight="1">
      <c r="B5" t="s">
        <v>59</v>
      </c>
      <c r="C5" s="3">
        <v>792936000000</v>
      </c>
      <c r="D5" s="3">
        <v>737516000000</v>
      </c>
      <c r="E5" s="3">
        <v>1040759000000</v>
      </c>
      <c r="G5" s="2" t="s">
        <v>60</v>
      </c>
      <c r="H5" t="s">
        <v>58</v>
      </c>
      <c r="I5" s="3">
        <v>7810000000</v>
      </c>
      <c r="J5" s="3">
        <v>8871000000</v>
      </c>
      <c r="K5" s="3">
        <v>12186000000</v>
      </c>
      <c r="N5" t="s">
        <v>61</v>
      </c>
      <c r="O5" s="3">
        <f>C21</f>
        <v>0</v>
      </c>
      <c r="P5" s="3">
        <f>D21</f>
        <v>0</v>
      </c>
      <c r="Q5" s="3">
        <f>E21</f>
        <v>0</v>
      </c>
    </row>
    <row r="6" spans="2:17" ht="22" customHeight="1">
      <c r="B6" t="s">
        <v>62</v>
      </c>
      <c r="C6" s="3">
        <v>3665000000</v>
      </c>
      <c r="D6" s="3">
        <v>3414000000</v>
      </c>
      <c r="E6" s="3">
        <v>4570000000</v>
      </c>
      <c r="H6" t="s">
        <v>63</v>
      </c>
      <c r="I6" s="3">
        <v>0</v>
      </c>
      <c r="J6" s="3">
        <v>0</v>
      </c>
      <c r="K6" s="3">
        <v>0</v>
      </c>
      <c r="N6" t="s">
        <v>64</v>
      </c>
      <c r="O6" s="3">
        <f>C18</f>
        <v>0</v>
      </c>
      <c r="P6" s="3">
        <f>D18</f>
        <v>0</v>
      </c>
      <c r="Q6" s="3">
        <f>E18</f>
        <v>0</v>
      </c>
    </row>
    <row r="7" spans="2:17" ht="22" customHeight="1">
      <c r="B7" t="s">
        <v>65</v>
      </c>
      <c r="C7" s="3">
        <v>0</v>
      </c>
      <c r="D7" s="3">
        <v>0</v>
      </c>
      <c r="E7" s="3">
        <v>0</v>
      </c>
      <c r="H7" t="s">
        <v>66</v>
      </c>
      <c r="I7" s="3">
        <v>-104001000000</v>
      </c>
      <c r="J7" s="3">
        <v>-215760000000</v>
      </c>
      <c r="K7" s="3">
        <v>27933000000</v>
      </c>
    </row>
    <row r="8" spans="2:17" ht="22" customHeight="1">
      <c r="B8" t="s">
        <v>67</v>
      </c>
      <c r="C8" s="3">
        <v>80212000000</v>
      </c>
      <c r="D8" s="3">
        <v>76401000000</v>
      </c>
      <c r="E8" s="3">
        <v>172597000000</v>
      </c>
      <c r="G8" s="2" t="s">
        <v>68</v>
      </c>
    </row>
    <row r="9" spans="2:17" ht="22" customHeight="1">
      <c r="B9" t="s">
        <v>69</v>
      </c>
      <c r="C9" s="3">
        <v>0</v>
      </c>
      <c r="D9" s="3">
        <v>0</v>
      </c>
      <c r="E9" s="3">
        <v>0</v>
      </c>
      <c r="H9" t="s">
        <v>70</v>
      </c>
      <c r="I9" s="3">
        <v>2999000000</v>
      </c>
      <c r="J9" s="3">
        <v>3104000000</v>
      </c>
      <c r="K9" s="3">
        <v>14383000000</v>
      </c>
    </row>
    <row r="10" spans="2:17" ht="22" customHeight="1">
      <c r="B10" t="s">
        <v>71</v>
      </c>
      <c r="C10" s="3">
        <v>0</v>
      </c>
      <c r="D10" s="3">
        <v>0</v>
      </c>
      <c r="E10" s="3">
        <v>0</v>
      </c>
      <c r="H10" t="s">
        <v>72</v>
      </c>
      <c r="I10" s="3">
        <v>107295000000</v>
      </c>
      <c r="J10" s="3">
        <v>186022000000</v>
      </c>
      <c r="K10" s="3">
        <v>197965000000</v>
      </c>
    </row>
    <row r="11" spans="2:17" ht="22" customHeight="1">
      <c r="B11" t="s">
        <v>73</v>
      </c>
      <c r="C11" s="3">
        <v>0</v>
      </c>
      <c r="D11" s="3">
        <v>0</v>
      </c>
      <c r="E11" s="3">
        <v>0</v>
      </c>
      <c r="H11" t="s">
        <v>74</v>
      </c>
      <c r="I11" s="3">
        <v>1202227000000</v>
      </c>
      <c r="J11" s="3">
        <v>1206226000000</v>
      </c>
      <c r="K11" s="3">
        <v>1335187000000</v>
      </c>
    </row>
    <row r="12" spans="2:17" ht="22" customHeight="1">
      <c r="B12" t="s">
        <v>75</v>
      </c>
      <c r="C12" s="3">
        <v>77744000000</v>
      </c>
      <c r="D12" s="3">
        <v>80553000000</v>
      </c>
      <c r="E12" s="3">
        <v>90494000000</v>
      </c>
      <c r="H12" t="s">
        <v>76</v>
      </c>
      <c r="I12" s="3">
        <v>73087000000</v>
      </c>
      <c r="J12" s="3">
        <v>77800000000</v>
      </c>
      <c r="K12" s="3">
        <v>92829000000</v>
      </c>
    </row>
    <row r="13" spans="2:17" ht="22" customHeight="1">
      <c r="B13" t="s">
        <v>77</v>
      </c>
      <c r="C13" s="3">
        <v>2560000000</v>
      </c>
      <c r="D13" s="3">
        <v>2994000000</v>
      </c>
      <c r="E13" s="3">
        <v>2984000000</v>
      </c>
      <c r="H13" t="s">
        <v>78</v>
      </c>
      <c r="I13" s="3">
        <v>0</v>
      </c>
      <c r="J13" s="3">
        <v>0</v>
      </c>
      <c r="K13" s="3">
        <v>0</v>
      </c>
    </row>
    <row r="14" spans="2:17" ht="22" customHeight="1">
      <c r="B14" t="s">
        <v>79</v>
      </c>
      <c r="C14" s="3">
        <v>36891000000</v>
      </c>
      <c r="D14" s="3">
        <v>38612000000</v>
      </c>
      <c r="E14" s="3">
        <v>103378000000</v>
      </c>
      <c r="H14" t="s">
        <v>80</v>
      </c>
      <c r="I14" s="3">
        <v>-222056000000</v>
      </c>
      <c r="J14" s="3">
        <v>-230873000000</v>
      </c>
      <c r="K14" s="3">
        <v>-136412000000</v>
      </c>
    </row>
    <row r="15" spans="2:17" ht="22" customHeight="1">
      <c r="B15" t="s">
        <v>81</v>
      </c>
      <c r="C15" s="3">
        <v>-9039000000</v>
      </c>
      <c r="D15" s="3">
        <v>-36936000000</v>
      </c>
      <c r="E15" s="3">
        <v>-22613000000</v>
      </c>
      <c r="G15" s="2" t="s">
        <v>82</v>
      </c>
      <c r="H15" t="s">
        <v>82</v>
      </c>
      <c r="I15" s="5">
        <f>I4-I5</f>
        <v>0</v>
      </c>
      <c r="J15" s="5">
        <f>J4-J5</f>
        <v>0</v>
      </c>
      <c r="K15" s="5">
        <f>K4-K5</f>
        <v>0</v>
      </c>
    </row>
    <row r="16" spans="2:17" ht="22" customHeight="1">
      <c r="B16" t="s">
        <v>83</v>
      </c>
      <c r="C16" s="3">
        <v>563000000</v>
      </c>
      <c r="D16" s="3">
        <v>311000000</v>
      </c>
      <c r="E16" s="3">
        <v>14000000</v>
      </c>
      <c r="F16" s="2" t="s">
        <v>84</v>
      </c>
      <c r="G16" t="s">
        <v>85</v>
      </c>
      <c r="H16" s="3">
        <f>I15</f>
        <v>0</v>
      </c>
    </row>
    <row r="17" spans="2:10" ht="22" customHeight="1">
      <c r="B17" t="s">
        <v>86</v>
      </c>
      <c r="C17" s="3">
        <v>816000000</v>
      </c>
      <c r="D17" s="3">
        <v>359000000</v>
      </c>
      <c r="E17" s="3">
        <v>579000000</v>
      </c>
      <c r="F17" t="s">
        <v>84</v>
      </c>
      <c r="G17" t="s">
        <v>87</v>
      </c>
      <c r="H17">
        <v>0.08</v>
      </c>
    </row>
    <row r="18" spans="2:10" ht="22" customHeight="1">
      <c r="B18" t="s">
        <v>88</v>
      </c>
      <c r="C18" s="3">
        <v>1552000000</v>
      </c>
      <c r="D18" s="3">
        <v>863000000</v>
      </c>
      <c r="E18" s="3">
        <v>684000000</v>
      </c>
      <c r="F18" t="s">
        <v>84</v>
      </c>
      <c r="G18" t="s">
        <v>89</v>
      </c>
      <c r="H18">
        <v>0.04</v>
      </c>
    </row>
    <row r="19" spans="2:10" ht="22" customHeight="1">
      <c r="B19" t="s">
        <v>64</v>
      </c>
      <c r="C19" s="3">
        <v>109274000000</v>
      </c>
      <c r="D19" s="3">
        <v>134817000000</v>
      </c>
      <c r="E19" s="3">
        <v>121802000000</v>
      </c>
      <c r="F19" t="s">
        <v>84</v>
      </c>
      <c r="G19" t="s">
        <v>90</v>
      </c>
      <c r="H19" s="3">
        <f>IF(OR(K15=0,K15&lt;0,I15&lt;0),0.1,MIN(0.15,MAX(-0.1,POWER(I15/K15,1/2)-1)))</f>
        <v>0</v>
      </c>
    </row>
    <row r="20" spans="2:10" ht="22" customHeight="1">
      <c r="B20" s="2" t="s">
        <v>91</v>
      </c>
      <c r="C20" s="5">
        <f>C3-C4</f>
        <v>0</v>
      </c>
      <c r="D20" s="5">
        <f>D3-D4</f>
        <v>0</v>
      </c>
      <c r="E20" s="5">
        <f>E3-E4</f>
        <v>0</v>
      </c>
      <c r="F20" t="s">
        <v>84</v>
      </c>
      <c r="G20" t="s">
        <v>92</v>
      </c>
      <c r="H20" s="3">
        <v>18210000000</v>
      </c>
    </row>
    <row r="21" spans="2:10" ht="22" customHeight="1">
      <c r="B21" s="2" t="s">
        <v>93</v>
      </c>
      <c r="C21" s="6">
        <f>IF(C3=0,0,C20/C3)</f>
        <v>0</v>
      </c>
      <c r="D21" s="6">
        <f>IF(D3=0,0,D20/D3)</f>
        <v>0</v>
      </c>
      <c r="E21" s="6">
        <f>IF(E3=0,0,E20/E3)</f>
        <v>0</v>
      </c>
      <c r="F21" t="s">
        <v>84</v>
      </c>
      <c r="G21" t="s">
        <v>94</v>
      </c>
      <c r="H21" s="3">
        <f>H16*(1+H19)/POWER(1+H17,1)</f>
        <v>0</v>
      </c>
    </row>
    <row r="22" spans="2:10" ht="22" customHeight="1">
      <c r="B22" s="2" t="s">
        <v>61</v>
      </c>
      <c r="C22" s="5">
        <f>C20-C6-C7-C8-C9-C10</f>
        <v>0</v>
      </c>
      <c r="D22" s="5">
        <f>D20-D6-D7-D8-D9-D10</f>
        <v>0</v>
      </c>
      <c r="E22" s="5">
        <f>E20-E6-E7-E8-E9-E10</f>
        <v>0</v>
      </c>
      <c r="F22" t="s">
        <v>84</v>
      </c>
      <c r="G22" t="s">
        <v>95</v>
      </c>
      <c r="H22" s="3">
        <f>H16*POWER(1+H19,2)/POWER(1+H17,2)</f>
        <v>0</v>
      </c>
    </row>
    <row r="23" spans="2:10" ht="22" customHeight="1">
      <c r="B23" s="2" t="s">
        <v>96</v>
      </c>
      <c r="C23" s="6">
        <f>IF(C3=0,0,C22/C3)</f>
        <v>0</v>
      </c>
      <c r="D23" s="6">
        <f>IF(D3=0,0,D22/D3)</f>
        <v>0</v>
      </c>
      <c r="E23" s="6">
        <f>IF(E3=0,0,E22/E3)</f>
        <v>0</v>
      </c>
      <c r="F23" t="s">
        <v>84</v>
      </c>
      <c r="G23" t="s">
        <v>97</v>
      </c>
      <c r="H23" s="3">
        <f>H16*POWER(1+H19,3)/POWER(1+H17,3)</f>
        <v>0</v>
      </c>
    </row>
    <row r="24" spans="2:10" ht="22" customHeight="1">
      <c r="B24" s="2" t="s">
        <v>98</v>
      </c>
      <c r="C24" s="3">
        <f>IF(C22=0,0,I4/C22)</f>
        <v>0</v>
      </c>
      <c r="D24" s="3">
        <f>IF(D22=0,0,J4/D22)</f>
        <v>0</v>
      </c>
      <c r="E24" s="3">
        <f>IF(E22=0,0,K4/E22)</f>
        <v>0</v>
      </c>
      <c r="F24" t="s">
        <v>84</v>
      </c>
      <c r="G24" t="s">
        <v>99</v>
      </c>
      <c r="H24" s="3">
        <f>(H16*POWER(1+H19,3)*(1+H18))/(H17-H18)/POWER(1+H17,3)</f>
        <v>0</v>
      </c>
    </row>
    <row r="25" spans="2:10" ht="22" customHeight="1">
      <c r="B25" s="2" t="s">
        <v>100</v>
      </c>
      <c r="C25" s="6">
        <f>IF(C3=0,0,C7/C3)</f>
        <v>0</v>
      </c>
      <c r="D25" s="6">
        <f>IF(D3=0,0,D7/D3)</f>
        <v>0</v>
      </c>
      <c r="E25" s="6">
        <f>IF(E3=0,0,E7/E3)</f>
        <v>0</v>
      </c>
      <c r="F25" t="s">
        <v>84</v>
      </c>
      <c r="G25" t="s">
        <v>101</v>
      </c>
      <c r="H25" s="3">
        <f>SUM(H21:H24)</f>
        <v>0</v>
      </c>
    </row>
    <row r="26" spans="2:10" ht="22" customHeight="1">
      <c r="B26" s="2" t="s">
        <v>102</v>
      </c>
      <c r="C26" s="6">
        <f>IF(C3=0,0,C8/C3)</f>
        <v>0</v>
      </c>
      <c r="D26" s="6">
        <f>IF(D3=0,0,D8/D3)</f>
        <v>0</v>
      </c>
      <c r="E26" s="6">
        <f>IF(E3=0,0,E8/E3)</f>
        <v>0</v>
      </c>
      <c r="F26" s="2" t="s">
        <v>84</v>
      </c>
      <c r="G26" s="2" t="s">
        <v>103</v>
      </c>
      <c r="H26" s="5">
        <f>H25/H20</f>
        <v>0</v>
      </c>
    </row>
    <row r="27" spans="2:10" ht="22" customHeight="1">
      <c r="B27" s="2" t="s">
        <v>104</v>
      </c>
      <c r="C27" s="6">
        <f>IF(C3=0,0,C17/C3)</f>
        <v>0</v>
      </c>
      <c r="D27" s="6">
        <f>IF(D3=0,0,D17/D3)</f>
        <v>0</v>
      </c>
      <c r="E27" s="6">
        <f>IF(E3=0,0,E17/E3)</f>
        <v>0</v>
      </c>
    </row>
    <row r="28" spans="2:10" ht="22" customHeight="1">
      <c r="B28" s="2" t="s">
        <v>105</v>
      </c>
      <c r="C28" s="6">
        <f>IF(C3=0,0,C19/C3)</f>
        <v>0</v>
      </c>
      <c r="D28" s="6">
        <f>IF(D3=0,0,D19/D3)</f>
        <v>0</v>
      </c>
      <c r="E28" s="6">
        <f>IF(E3=0,0,E19/E3)</f>
        <v>0</v>
      </c>
      <c r="F28" s="2" t="s">
        <v>106</v>
      </c>
      <c r="G28" t="s">
        <v>107</v>
      </c>
      <c r="H28">
        <v>0.1</v>
      </c>
    </row>
    <row r="29" spans="2:10" ht="22" customHeight="1">
      <c r="F29" s="2" t="s">
        <v>106</v>
      </c>
      <c r="G29" t="s">
        <v>108</v>
      </c>
      <c r="H29">
        <v>0.04</v>
      </c>
      <c r="J29" s="3">
        <f>1/H29</f>
        <v>0</v>
      </c>
    </row>
    <row r="30" spans="2:10" ht="22" customHeight="1">
      <c r="F30" s="2" t="s">
        <v>106</v>
      </c>
      <c r="G30" t="s">
        <v>109</v>
      </c>
      <c r="H30">
        <v>0.02</v>
      </c>
      <c r="J30" s="3">
        <f>1/H30</f>
        <v>0</v>
      </c>
    </row>
    <row r="31" spans="2:10" ht="22" customHeight="1">
      <c r="F31" s="2" t="s">
        <v>106</v>
      </c>
      <c r="G31" s="2" t="s">
        <v>110</v>
      </c>
      <c r="H31" s="5">
        <f>(C19*POWER(1+H28,3))*J29</f>
        <v>0</v>
      </c>
      <c r="I31" s="5">
        <f>H31/H20</f>
        <v>0</v>
      </c>
    </row>
    <row r="32" spans="2:10" ht="22" customHeight="1">
      <c r="F32" s="2" t="s">
        <v>106</v>
      </c>
      <c r="G32" t="s">
        <v>111</v>
      </c>
      <c r="H32" s="5">
        <f>H31*0.7</f>
        <v>0</v>
      </c>
      <c r="I32" s="5">
        <f>H32/H20</f>
        <v>0</v>
      </c>
    </row>
    <row r="33" spans="6:9" ht="22" customHeight="1">
      <c r="F33" s="2" t="s">
        <v>106</v>
      </c>
      <c r="G33" s="2" t="s">
        <v>112</v>
      </c>
      <c r="H33" s="5">
        <f>(C19*POWER(1+H28,3))*J30</f>
        <v>0</v>
      </c>
      <c r="I33" s="5">
        <f>H33/H20</f>
        <v>0</v>
      </c>
    </row>
    <row r="34" spans="6:9" ht="22" customHeight="1"/>
    <row r="35" spans="6:9" ht="22" customHeight="1"/>
    <row r="36" spans="6:9" ht="22" customHeight="1">
      <c r="F36" s="2" t="s">
        <v>113</v>
      </c>
      <c r="G36" s="2">
        <v>2023</v>
      </c>
      <c r="H36" s="2">
        <v>2022</v>
      </c>
      <c r="I36" s="2">
        <v>2021</v>
      </c>
    </row>
    <row r="37" spans="6:9">
      <c r="F37" t="s">
        <v>114</v>
      </c>
      <c r="G37" s="3">
        <f>IF(AND(D19&lt;&gt;0,D3&lt;&gt;0,ABS((C3/D3)-1)&gt;0.0001),((C19/D19)-1)/((C3/D3)-1),0)</f>
        <v>0</v>
      </c>
      <c r="H37" s="3">
        <f>IF(AND(E19&lt;&gt;0,E3&lt;&gt;0,ABS((D3/E3)-1)&gt;0.0001),((D19/E19)-1)/((D3/E3)-1),0)</f>
        <v>0</v>
      </c>
      <c r="I37" t="s">
        <v>115</v>
      </c>
    </row>
    <row r="38" spans="6:9">
      <c r="F38" t="s">
        <v>116</v>
      </c>
      <c r="G38" s="3">
        <f>IF(AND(C19&lt;&gt;0,(C19-C10)&lt;&gt;0),C19/(C19-C10),1)</f>
        <v>0</v>
      </c>
      <c r="H38" s="3">
        <f>IF(AND(D19&lt;&gt;0,(D19-D10)&lt;&gt;0),D19/(D19-D10),1)</f>
        <v>0</v>
      </c>
      <c r="I38" s="3">
        <f>IF(AND(E19&lt;&gt;0,(E19-E10)&lt;&gt;0),E19/(E19-E10),1)</f>
        <v>0</v>
      </c>
    </row>
    <row r="39" spans="6:9">
      <c r="F39" t="s">
        <v>117</v>
      </c>
      <c r="G39" s="3">
        <f>G37*G38</f>
        <v>0</v>
      </c>
      <c r="H39" s="3">
        <f>H37*H38</f>
        <v>0</v>
      </c>
      <c r="I39" s="3">
        <f>I37*I38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20.7109375" customWidth="1"/>
    <col min="2" max="2" width="35.7109375" customWidth="1"/>
    <col min="3" max="6" width="30.7109375" customWidth="1"/>
    <col min="7" max="7" width="20.7109375" customWidth="1"/>
    <col min="8" max="8" width="35.7109375" customWidth="1"/>
    <col min="9" max="15" width="30.7109375" customWidth="1"/>
  </cols>
  <sheetData>
    <row r="1" spans="1:6" ht="22" customHeight="1"/>
    <row r="2" spans="1:6" ht="22" customHeight="1"/>
    <row r="3" spans="1:6" ht="22" customHeight="1">
      <c r="D3" s="1" t="s">
        <v>0</v>
      </c>
      <c r="E3" s="1" t="s">
        <v>1</v>
      </c>
      <c r="F3" s="1" t="s">
        <v>2</v>
      </c>
    </row>
    <row r="4" spans="1:6" ht="22" customHeight="1">
      <c r="A4" s="2" t="s">
        <v>118</v>
      </c>
      <c r="B4" s="2" t="s">
        <v>3</v>
      </c>
    </row>
    <row r="5" spans="1:6" ht="22" customHeight="1">
      <c r="A5" s="2" t="s">
        <v>119</v>
      </c>
      <c r="B5" s="2" t="s">
        <v>120</v>
      </c>
      <c r="D5" s="6">
        <f>IF('(经营性&amp;金融性)资产&amp;负债结构分析'!I21=0,0,'利润&amp;现金流结构分析'!C19/'(经营性&amp;金融性)资产&amp;负债结构分析'!I21)</f>
        <v>0</v>
      </c>
      <c r="E5" s="6">
        <f>IF('(经营性&amp;金融性)资产&amp;负债结构分析'!J21=0,0,'利润&amp;现金流结构分析'!D19/'(经营性&amp;金融性)资产&amp;负债结构分析'!J21)</f>
        <v>0</v>
      </c>
      <c r="F5" s="6">
        <f>IF('(经营性&amp;金融性)资产&amp;负债结构分析'!K21=0,0,'利润&amp;现金流结构分析'!E19/'(经营性&amp;金融性)资产&amp;负债结构分析'!K21)</f>
        <v>0</v>
      </c>
    </row>
    <row r="6" spans="1:6" ht="22" customHeight="1">
      <c r="A6" s="2" t="s">
        <v>119</v>
      </c>
      <c r="B6" s="2" t="s">
        <v>121</v>
      </c>
      <c r="D6" s="6">
        <f>IF('(经营性&amp;金融性)资产&amp;负债结构分析'!C21=0,0,'利润&amp;现金流结构分析'!C19/'(经营性&amp;金融性)资产&amp;负债结构分析'!C21)</f>
        <v>0</v>
      </c>
      <c r="E6" s="6">
        <f>IF('(经营性&amp;金融性)资产&amp;负债结构分析'!D21=0,0,'利润&amp;现金流结构分析'!D19/'(经营性&amp;金融性)资产&amp;负债结构分析'!D21)</f>
        <v>0</v>
      </c>
      <c r="F6" s="6">
        <f>IF('(经营性&amp;金融性)资产&amp;负债结构分析'!E21=0,0,'利润&amp;现金流结构分析'!E19/'(经营性&amp;金融性)资产&amp;负债结构分析'!E21)</f>
        <v>0</v>
      </c>
    </row>
    <row r="7" spans="1:6" ht="22" customHeight="1"/>
    <row r="8" spans="1:6" ht="22" customHeight="1">
      <c r="A8" s="2" t="s">
        <v>118</v>
      </c>
      <c r="B8" t="s">
        <v>5</v>
      </c>
      <c r="D8" s="3">
        <f>'(经营性&amp;金融性)资产&amp;负债结构分析'!C4</f>
        <v>0</v>
      </c>
      <c r="E8" s="3">
        <f>'(经营性&amp;金融性)资产&amp;负债结构分析'!D4</f>
        <v>0</v>
      </c>
      <c r="F8" s="3">
        <f>'(经营性&amp;金融性)资产&amp;负债结构分析'!E4</f>
        <v>0</v>
      </c>
    </row>
    <row r="9" spans="1:6" ht="22" customHeight="1">
      <c r="A9" s="2" t="s">
        <v>118</v>
      </c>
      <c r="B9" t="s">
        <v>7</v>
      </c>
      <c r="D9" s="3">
        <f>'(经营性&amp;金融性)资产&amp;负债结构分析'!C9</f>
        <v>0</v>
      </c>
      <c r="E9" s="3">
        <f>'(经营性&amp;金融性)资产&amp;负债结构分析'!D9</f>
        <v>0</v>
      </c>
      <c r="F9" s="3">
        <f>'(经营性&amp;金融性)资产&amp;负债结构分析'!E9</f>
        <v>0</v>
      </c>
    </row>
    <row r="10" spans="1:6" ht="22" customHeight="1">
      <c r="A10" s="2" t="s">
        <v>118</v>
      </c>
      <c r="B10" t="s">
        <v>9</v>
      </c>
      <c r="D10" s="3">
        <f>'(经营性&amp;金融性)资产&amp;负债结构分析'!C5</f>
        <v>0</v>
      </c>
      <c r="E10" s="3">
        <f>'(经营性&amp;金融性)资产&amp;负债结构分析'!D5</f>
        <v>0</v>
      </c>
      <c r="F10" s="3">
        <f>'(经营性&amp;金融性)资产&amp;负债结构分析'!E5</f>
        <v>0</v>
      </c>
    </row>
    <row r="11" spans="1:6" ht="22" customHeight="1">
      <c r="A11" s="2" t="s">
        <v>118</v>
      </c>
      <c r="B11" t="s">
        <v>61</v>
      </c>
      <c r="D11" s="5">
        <f>'利润&amp;现金流结构分析'!C22</f>
        <v>0</v>
      </c>
      <c r="E11" s="5">
        <f>'利润&amp;现金流结构分析'!D22</f>
        <v>0</v>
      </c>
      <c r="F11" s="5">
        <f>'利润&amp;现金流结构分析'!E22</f>
        <v>0</v>
      </c>
    </row>
    <row r="12" spans="1:6" ht="22" customHeight="1">
      <c r="A12" s="2" t="s">
        <v>118</v>
      </c>
      <c r="B12" t="s">
        <v>57</v>
      </c>
      <c r="D12" s="3">
        <f>'利润&amp;现金流结构分析'!I4</f>
        <v>0</v>
      </c>
      <c r="E12" s="3">
        <f>'利润&amp;现金流结构分析'!J4</f>
        <v>0</v>
      </c>
      <c r="F12" s="3">
        <f>'利润&amp;现金流结构分析'!K4</f>
        <v>0</v>
      </c>
    </row>
    <row r="13" spans="1:6" ht="22" customHeight="1">
      <c r="A13" s="2" t="s">
        <v>118</v>
      </c>
      <c r="B13" t="s">
        <v>122</v>
      </c>
      <c r="D13" s="3">
        <f>'(经营性&amp;金融性)资产&amp;负债结构分析'!C21</f>
        <v>0</v>
      </c>
      <c r="E13" s="3">
        <f>'(经营性&amp;金融性)资产&amp;负债结构分析'!D21</f>
        <v>0</v>
      </c>
      <c r="F13" s="3">
        <f>'(经营性&amp;金融性)资产&amp;负债结构分析'!E21</f>
        <v>0</v>
      </c>
    </row>
    <row r="14" spans="1:6" ht="22" customHeight="1"/>
    <row r="15" spans="1:6" ht="22" customHeight="1"/>
    <row r="16" spans="1: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0.7109375" customWidth="1"/>
    <col min="2" max="2" width="35.7109375" customWidth="1"/>
    <col min="3" max="6" width="30.7109375" customWidth="1"/>
    <col min="7" max="7" width="20.7109375" customWidth="1"/>
    <col min="8" max="8" width="35.7109375" customWidth="1"/>
    <col min="9" max="15" width="30.7109375" customWidth="1"/>
  </cols>
  <sheetData>
    <row r="1" spans="1:4" ht="22" customHeight="1">
      <c r="A1" s="1" t="s">
        <v>123</v>
      </c>
      <c r="B1" s="1" t="s">
        <v>0</v>
      </c>
      <c r="C1" s="1" t="s">
        <v>1</v>
      </c>
      <c r="D1" s="1" t="s">
        <v>2</v>
      </c>
    </row>
    <row r="2" spans="1:4" ht="22" customHeight="1">
      <c r="A2" s="2" t="s">
        <v>122</v>
      </c>
      <c r="B2" s="3">
        <v>11583417000000</v>
      </c>
      <c r="C2" s="3">
        <v>11009940000000</v>
      </c>
      <c r="D2" s="3">
        <v>10142026000000</v>
      </c>
    </row>
    <row r="3" spans="1:4" ht="22" customHeight="1">
      <c r="A3" s="2" t="s">
        <v>124</v>
      </c>
    </row>
    <row r="4" spans="1:4" ht="22" customHeight="1">
      <c r="A4" s="2" t="s">
        <v>125</v>
      </c>
    </row>
    <row r="5" spans="1:4" ht="22" customHeight="1">
      <c r="A5" s="2" t="s">
        <v>43</v>
      </c>
      <c r="B5" s="3">
        <v>10354453000000</v>
      </c>
      <c r="C5" s="3">
        <v>9823944000000</v>
      </c>
      <c r="D5" s="3">
        <v>9064303000000</v>
      </c>
    </row>
    <row r="6" spans="1:4" ht="22" customHeight="1">
      <c r="A6" s="2" t="s">
        <v>126</v>
      </c>
    </row>
    <row r="7" spans="1:4" ht="22" customHeight="1">
      <c r="A7" s="2" t="s">
        <v>127</v>
      </c>
    </row>
    <row r="8" spans="1:4" ht="22" customHeight="1">
      <c r="A8" s="2" t="s">
        <v>128</v>
      </c>
      <c r="B8" s="3">
        <v>1228964000000</v>
      </c>
      <c r="C8" s="3">
        <v>1185996000000</v>
      </c>
      <c r="D8" s="3">
        <v>1077723000000</v>
      </c>
    </row>
    <row r="9" spans="1:4" ht="22" customHeight="1">
      <c r="A9" s="2" t="s">
        <v>5</v>
      </c>
      <c r="B9" s="3">
        <v>577212000000</v>
      </c>
      <c r="C9" s="3">
        <v>613737000000</v>
      </c>
      <c r="D9" s="3">
        <v>535067000000</v>
      </c>
    </row>
    <row r="10" spans="1:4" ht="22" customHeight="1">
      <c r="A10" s="2" t="s">
        <v>6</v>
      </c>
      <c r="B10" s="3">
        <v>35636000000</v>
      </c>
      <c r="C10" s="3">
        <v>36118000000</v>
      </c>
      <c r="D10" s="3">
        <v>26628000000</v>
      </c>
    </row>
    <row r="11" spans="1:4" ht="22" customHeight="1">
      <c r="A11" s="2" t="s">
        <v>7</v>
      </c>
    </row>
    <row r="12" spans="1:4" ht="22" customHeight="1">
      <c r="A12" s="2" t="s">
        <v>9</v>
      </c>
      <c r="B12" s="3">
        <v>47412000000</v>
      </c>
      <c r="C12" s="3">
        <v>49941000000</v>
      </c>
      <c r="D12" s="3">
        <v>45823000000</v>
      </c>
    </row>
    <row r="13" spans="1:4" ht="22" customHeight="1">
      <c r="A13" s="2" t="s">
        <v>39</v>
      </c>
      <c r="B13" s="3">
        <v>93322000000</v>
      </c>
      <c r="C13" s="3">
        <v>121945000000</v>
      </c>
      <c r="D13" s="3">
        <v>116102000000</v>
      </c>
    </row>
    <row r="14" spans="1:4" ht="22" customHeight="1">
      <c r="A14" s="2" t="s">
        <v>37</v>
      </c>
      <c r="B14" s="3">
        <v>135161000000</v>
      </c>
      <c r="C14" s="3">
        <v>151539000000</v>
      </c>
      <c r="D14" s="3">
        <v>171682000000</v>
      </c>
    </row>
    <row r="15" spans="1:4" ht="22" customHeight="1"/>
    <row r="16" spans="1:4" ht="22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30.7109375" customWidth="1"/>
    <col min="2" max="2" width="20.7109375" customWidth="1"/>
    <col min="3" max="3" width="30.7109375" customWidth="1"/>
  </cols>
  <sheetData>
    <row r="1" spans="1:3">
      <c r="A1" s="1" t="s">
        <v>129</v>
      </c>
      <c r="B1" s="1"/>
      <c r="C1" s="1"/>
    </row>
    <row r="3" spans="1:3">
      <c r="A3" s="2" t="s">
        <v>130</v>
      </c>
      <c r="B3" s="2" t="s">
        <v>131</v>
      </c>
      <c r="C3" s="2" t="s">
        <v>132</v>
      </c>
    </row>
    <row r="4" spans="1:3">
      <c r="A4" t="s">
        <v>87</v>
      </c>
      <c r="B4" s="6">
        <v>0.08</v>
      </c>
      <c r="C4" t="s">
        <v>133</v>
      </c>
    </row>
    <row r="5" spans="1:3">
      <c r="A5" t="s">
        <v>134</v>
      </c>
      <c r="B5" s="6">
        <v>0.04</v>
      </c>
      <c r="C5" t="s">
        <v>133</v>
      </c>
    </row>
    <row r="6" spans="1:3">
      <c r="A6" t="s">
        <v>90</v>
      </c>
      <c r="B6" s="6">
        <v>-0.1</v>
      </c>
      <c r="C6" t="s">
        <v>133</v>
      </c>
    </row>
    <row r="7" spans="1:3">
      <c r="A7" t="s">
        <v>107</v>
      </c>
      <c r="B7" s="6">
        <v>0.1</v>
      </c>
      <c r="C7" t="s">
        <v>135</v>
      </c>
    </row>
    <row r="8" spans="1:3">
      <c r="A8" t="s">
        <v>136</v>
      </c>
      <c r="B8" s="6">
        <v>0.04</v>
      </c>
      <c r="C8" t="s">
        <v>135</v>
      </c>
    </row>
    <row r="9" spans="1:3">
      <c r="A9" t="s">
        <v>137</v>
      </c>
      <c r="B9" s="6">
        <v>0.02</v>
      </c>
      <c r="C9" t="s">
        <v>135</v>
      </c>
    </row>
    <row r="11" spans="1:3">
      <c r="A11" s="1" t="s">
        <v>138</v>
      </c>
      <c r="B11" s="1"/>
      <c r="C11" s="1"/>
    </row>
    <row r="12" spans="1:3">
      <c r="A12" s="2" t="s">
        <v>139</v>
      </c>
      <c r="B12" s="2" t="s">
        <v>140</v>
      </c>
      <c r="C12" s="2" t="s">
        <v>141</v>
      </c>
    </row>
    <row r="13" spans="1:3">
      <c r="A13" t="s">
        <v>142</v>
      </c>
      <c r="B13" s="3">
        <v>352593000000</v>
      </c>
      <c r="C13" t="s">
        <v>143</v>
      </c>
    </row>
    <row r="14" spans="1:3">
      <c r="A14" t="s">
        <v>144</v>
      </c>
      <c r="B14" s="3">
        <v>109274000000</v>
      </c>
      <c r="C14" t="s">
        <v>143</v>
      </c>
    </row>
    <row r="15" spans="1:3">
      <c r="A15" t="s">
        <v>92</v>
      </c>
      <c r="B15" s="3">
        <v>18210000000</v>
      </c>
      <c r="C15" t="s">
        <v>145</v>
      </c>
    </row>
    <row r="17" spans="1:3">
      <c r="A17" s="1" t="s">
        <v>146</v>
      </c>
      <c r="B17" s="1"/>
      <c r="C17" s="1"/>
    </row>
    <row r="18" spans="1:3">
      <c r="A18" s="2" t="s">
        <v>147</v>
      </c>
      <c r="B18" s="2" t="s">
        <v>148</v>
      </c>
      <c r="C18" s="2" t="s">
        <v>141</v>
      </c>
    </row>
    <row r="19" spans="1:3">
      <c r="A19" t="s">
        <v>149</v>
      </c>
      <c r="B19" s="3">
        <f>B13*(1+B6)/(1+B4)+B13*(1+B6)^2/(1+B4)^2+B13*(1+B6)^3/(1+B4)^3+B13*(1+B6)^3*(1+B5)/(B4-B5)/(1+B4)^3</f>
        <v>0</v>
      </c>
      <c r="C19" t="s">
        <v>143</v>
      </c>
    </row>
    <row r="20" spans="1:3">
      <c r="A20" t="s">
        <v>150</v>
      </c>
      <c r="B20" s="3">
        <f>B19/B15</f>
        <v>0</v>
      </c>
      <c r="C20" t="s">
        <v>151</v>
      </c>
    </row>
    <row r="21" spans="1:3">
      <c r="A21" t="s">
        <v>152</v>
      </c>
      <c r="B21" s="3">
        <f>B14*(1+B7)^3/B8/B15</f>
        <v>0</v>
      </c>
      <c r="C21" t="s">
        <v>151</v>
      </c>
    </row>
    <row r="22" spans="1:3">
      <c r="A22" t="s">
        <v>153</v>
      </c>
      <c r="B22" s="3">
        <f>B14*(1+B7)^3/B9/B15</f>
        <v>0</v>
      </c>
      <c r="C22" t="s">
        <v>151</v>
      </c>
    </row>
    <row r="23" spans="1:3">
      <c r="A23" t="s">
        <v>154</v>
      </c>
      <c r="B23" s="3">
        <f>B21*0.7</f>
        <v>0</v>
      </c>
      <c r="C23" t="s">
        <v>151</v>
      </c>
    </row>
    <row r="25" spans="1:3">
      <c r="A25" s="1" t="s">
        <v>155</v>
      </c>
      <c r="B25" s="1"/>
      <c r="C25" s="1"/>
    </row>
    <row r="26" spans="1:3">
      <c r="A26" t="s">
        <v>156</v>
      </c>
    </row>
    <row r="27" spans="1:3">
      <c r="A27" t="s">
        <v>157</v>
      </c>
    </row>
    <row r="28" spans="1:3">
      <c r="A28" t="s">
        <v>158</v>
      </c>
    </row>
    <row r="29" spans="1:3">
      <c r="A29" t="s">
        <v>159</v>
      </c>
    </row>
    <row r="30" spans="1:3">
      <c r="A30" t="s">
        <v>160</v>
      </c>
    </row>
    <row r="31" spans="1:3">
      <c r="A31" t="s">
        <v>161</v>
      </c>
    </row>
  </sheetData>
  <mergeCells count="10">
    <mergeCell ref="A1:C1"/>
    <mergeCell ref="A11:C11"/>
    <mergeCell ref="A17:C17"/>
    <mergeCell ref="A25:C25"/>
    <mergeCell ref="A26:C26"/>
    <mergeCell ref="A27:C27"/>
    <mergeCell ref="A28:C28"/>
    <mergeCell ref="A29:C29"/>
    <mergeCell ref="A30:C30"/>
    <mergeCell ref="A31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12.7109375" customWidth="1"/>
    <col min="2" max="2" width="30.7109375" customWidth="1"/>
    <col min="3" max="5" width="20.7109375" customWidth="1"/>
    <col min="6" max="6" width="8.7109375" customWidth="1"/>
    <col min="7" max="7" width="30.7109375" customWidth="1"/>
  </cols>
  <sheetData>
    <row r="1" spans="1:8">
      <c r="A1" s="7" t="s">
        <v>162</v>
      </c>
    </row>
    <row r="2" spans="1:8">
      <c r="A2" s="8" t="s">
        <v>163</v>
      </c>
    </row>
    <row r="4" spans="1:8">
      <c r="A4" s="1" t="s">
        <v>164</v>
      </c>
      <c r="B4" s="1"/>
      <c r="C4" s="1"/>
      <c r="D4" s="1"/>
      <c r="E4" s="1"/>
      <c r="F4" s="1"/>
      <c r="G4" s="1"/>
      <c r="H4" s="1"/>
    </row>
    <row r="5" spans="1:8">
      <c r="A5" s="2" t="s">
        <v>165</v>
      </c>
      <c r="B5" s="2" t="s">
        <v>166</v>
      </c>
      <c r="C5" s="2" t="s">
        <v>167</v>
      </c>
      <c r="D5" s="2" t="s">
        <v>168</v>
      </c>
      <c r="E5" s="2" t="s">
        <v>169</v>
      </c>
      <c r="F5" s="2" t="s">
        <v>141</v>
      </c>
      <c r="G5" s="2" t="s">
        <v>132</v>
      </c>
    </row>
    <row r="6" spans="1:8">
      <c r="A6" t="s">
        <v>4</v>
      </c>
      <c r="B6" t="s">
        <v>5</v>
      </c>
      <c r="C6" s="3">
        <f>'(经营性&amp;金融性)资产&amp;负债结构分析'!C4</f>
        <v>0</v>
      </c>
      <c r="D6" s="3">
        <f>'(经营性&amp;金融性)资产&amp;负债结构分析'!D4</f>
        <v>0</v>
      </c>
      <c r="E6" s="3">
        <f>'(经营性&amp;金融性)资产&amp;负债结构分析'!E4</f>
        <v>0</v>
      </c>
      <c r="F6" t="s">
        <v>143</v>
      </c>
      <c r="G6" t="s">
        <v>170</v>
      </c>
    </row>
    <row r="7" spans="1:8">
      <c r="A7" t="s">
        <v>4</v>
      </c>
      <c r="B7" t="s">
        <v>6</v>
      </c>
      <c r="C7" s="3">
        <f>'(经营性&amp;金融性)资产&amp;负债结构分析'!C7</f>
        <v>0</v>
      </c>
      <c r="D7" s="3">
        <f>'(经营性&amp;金融性)资产&amp;负债结构分析'!D7</f>
        <v>0</v>
      </c>
      <c r="E7" s="3">
        <f>'(经营性&amp;金融性)资产&amp;负债结构分析'!E7</f>
        <v>0</v>
      </c>
      <c r="F7" t="s">
        <v>143</v>
      </c>
      <c r="G7" t="s">
        <v>171</v>
      </c>
    </row>
    <row r="8" spans="1:8">
      <c r="A8" t="s">
        <v>4</v>
      </c>
      <c r="B8" t="s">
        <v>7</v>
      </c>
      <c r="C8" s="3">
        <f>'(经营性&amp;金融性)资产&amp;负债结构分析'!C9</f>
        <v>0</v>
      </c>
      <c r="D8" s="3">
        <f>'(经营性&amp;金融性)资产&amp;负债结构分析'!D9</f>
        <v>0</v>
      </c>
      <c r="E8" s="3">
        <f>'(经营性&amp;金融性)资产&amp;负债结构分析'!E9</f>
        <v>0</v>
      </c>
      <c r="F8" t="s">
        <v>143</v>
      </c>
      <c r="G8" t="s">
        <v>172</v>
      </c>
    </row>
    <row r="9" spans="1:8">
      <c r="A9" t="s">
        <v>8</v>
      </c>
      <c r="B9" t="s">
        <v>9</v>
      </c>
      <c r="C9" s="3">
        <f>'(经营性&amp;金融性)资产&amp;负债结构分析'!C5</f>
        <v>0</v>
      </c>
      <c r="D9" s="3">
        <f>'(经营性&amp;金融性)资产&amp;负债结构分析'!D5</f>
        <v>0</v>
      </c>
      <c r="E9" s="3">
        <f>'(经营性&amp;金融性)资产&amp;负债结构分析'!E5</f>
        <v>0</v>
      </c>
      <c r="F9" t="s">
        <v>143</v>
      </c>
      <c r="G9" t="s">
        <v>173</v>
      </c>
    </row>
    <row r="10" spans="1:8">
      <c r="A10" t="s">
        <v>8</v>
      </c>
      <c r="B10" t="s">
        <v>20</v>
      </c>
      <c r="C10" s="3">
        <f>'(经营性&amp;金融性)资产&amp;负债结构分析'!C10</f>
        <v>0</v>
      </c>
      <c r="D10" s="3">
        <f>'(经营性&amp;金融性)资产&amp;负债结构分析'!D10</f>
        <v>0</v>
      </c>
      <c r="E10" s="3">
        <f>'(经营性&amp;金融性)资产&amp;负债结构分析'!E10</f>
        <v>0</v>
      </c>
      <c r="F10" t="s">
        <v>143</v>
      </c>
      <c r="G10" t="s">
        <v>174</v>
      </c>
    </row>
    <row r="11" spans="1:8">
      <c r="A11" t="s">
        <v>175</v>
      </c>
      <c r="B11" t="s">
        <v>122</v>
      </c>
      <c r="C11" s="3">
        <f>'(经营性&amp;金融性)资产&amp;负债结构分析'!C21</f>
        <v>0</v>
      </c>
      <c r="D11" s="3">
        <f>'(经营性&amp;金融性)资产&amp;负债结构分析'!D21</f>
        <v>0</v>
      </c>
      <c r="E11" s="3">
        <f>'(经营性&amp;金融性)资产&amp;负债结构分析'!E21</f>
        <v>0</v>
      </c>
      <c r="F11" t="s">
        <v>143</v>
      </c>
      <c r="G11" t="s">
        <v>176</v>
      </c>
    </row>
    <row r="13" spans="1:8">
      <c r="A13" s="1" t="s">
        <v>177</v>
      </c>
      <c r="B13" s="1"/>
      <c r="C13" s="1"/>
      <c r="D13" s="1"/>
      <c r="E13" s="1"/>
      <c r="F13" s="1"/>
      <c r="G13" s="1"/>
      <c r="H13" s="1"/>
    </row>
    <row r="14" spans="1:8">
      <c r="A14" s="2" t="s">
        <v>165</v>
      </c>
      <c r="B14" s="2" t="s">
        <v>166</v>
      </c>
      <c r="C14" s="2" t="s">
        <v>167</v>
      </c>
      <c r="D14" s="2" t="s">
        <v>168</v>
      </c>
      <c r="E14" s="2" t="s">
        <v>169</v>
      </c>
      <c r="F14" s="2" t="s">
        <v>141</v>
      </c>
      <c r="G14" s="2" t="s">
        <v>132</v>
      </c>
    </row>
    <row r="15" spans="1:8">
      <c r="A15" t="s">
        <v>178</v>
      </c>
      <c r="B15" t="s">
        <v>13</v>
      </c>
      <c r="C15" s="3">
        <f>'(经营性&amp;金融性)资产&amp;负债结构分析'!I5</f>
        <v>0</v>
      </c>
      <c r="D15" s="3">
        <f>'(经营性&amp;金融性)资产&amp;负债结构分析'!J5</f>
        <v>0</v>
      </c>
      <c r="E15" s="3">
        <f>'(经营性&amp;金融性)资产&amp;负债结构分析'!K5</f>
        <v>0</v>
      </c>
      <c r="F15" t="s">
        <v>143</v>
      </c>
    </row>
    <row r="16" spans="1:8">
      <c r="A16" t="s">
        <v>178</v>
      </c>
      <c r="B16" t="s">
        <v>39</v>
      </c>
      <c r="C16" s="3">
        <f>'(经营性&amp;金融性)资产&amp;负债结构分析'!I18</f>
        <v>0</v>
      </c>
      <c r="D16" s="3">
        <f>'(经营性&amp;金融性)资产&amp;负债结构分析'!J18</f>
        <v>0</v>
      </c>
      <c r="E16" s="3">
        <f>'(经营性&amp;金融性)资产&amp;负债结构分析'!K18</f>
        <v>0</v>
      </c>
      <c r="F16" t="s">
        <v>143</v>
      </c>
    </row>
    <row r="17" spans="1:8">
      <c r="A17" t="s">
        <v>179</v>
      </c>
      <c r="B17" t="s">
        <v>37</v>
      </c>
      <c r="C17" s="3">
        <f>'(经营性&amp;金融性)资产&amp;负债结构分析'!I17</f>
        <v>0</v>
      </c>
      <c r="D17" s="3">
        <f>'(经营性&amp;金融性)资产&amp;负债结构分析'!J17</f>
        <v>0</v>
      </c>
      <c r="E17" s="3">
        <f>'(经营性&amp;金融性)资产&amp;负债结构分析'!K17</f>
        <v>0</v>
      </c>
      <c r="F17" t="s">
        <v>143</v>
      </c>
    </row>
    <row r="18" spans="1:8">
      <c r="A18" t="s">
        <v>179</v>
      </c>
      <c r="B18" t="s">
        <v>31</v>
      </c>
      <c r="C18" s="3">
        <f>'(经营性&amp;金融性)资产&amp;负债结构分析'!I14</f>
        <v>0</v>
      </c>
      <c r="D18" s="3">
        <f>'(经营性&amp;金融性)资产&amp;负债结构分析'!J14</f>
        <v>0</v>
      </c>
      <c r="E18" s="3">
        <f>'(经营性&amp;金融性)资产&amp;负债结构分析'!K14</f>
        <v>0</v>
      </c>
      <c r="F18" t="s">
        <v>143</v>
      </c>
    </row>
    <row r="19" spans="1:8">
      <c r="A19" t="s">
        <v>175</v>
      </c>
      <c r="B19" t="s">
        <v>43</v>
      </c>
      <c r="C19" s="3">
        <f>'(经营性&amp;金融性)资产&amp;负债结构分析'!I20</f>
        <v>0</v>
      </c>
      <c r="D19" s="3">
        <f>'(经营性&amp;金融性)资产&amp;负债结构分析'!J20</f>
        <v>0</v>
      </c>
      <c r="E19" s="3">
        <f>'(经营性&amp;金融性)资产&amp;负债结构分析'!K20</f>
        <v>0</v>
      </c>
      <c r="F19" t="s">
        <v>143</v>
      </c>
      <c r="G19" t="s">
        <v>180</v>
      </c>
    </row>
    <row r="20" spans="1:8">
      <c r="A20" t="s">
        <v>181</v>
      </c>
      <c r="B20" t="s">
        <v>128</v>
      </c>
      <c r="C20" s="3">
        <f>'(经营性&amp;金融性)资产&amp;负债结构分析'!I21</f>
        <v>0</v>
      </c>
      <c r="D20" s="3">
        <f>'(经营性&amp;金融性)资产&amp;负债结构分析'!J21</f>
        <v>0</v>
      </c>
      <c r="E20" s="3">
        <f>'(经营性&amp;金融性)资产&amp;负债结构分析'!K21</f>
        <v>0</v>
      </c>
      <c r="F20" t="s">
        <v>143</v>
      </c>
      <c r="G20" t="s">
        <v>182</v>
      </c>
    </row>
    <row r="22" spans="1:8">
      <c r="A22" s="1" t="s">
        <v>183</v>
      </c>
      <c r="B22" s="1"/>
      <c r="C22" s="1"/>
      <c r="D22" s="1"/>
      <c r="E22" s="1"/>
      <c r="F22" s="1"/>
      <c r="G22" s="1"/>
      <c r="H22" s="1"/>
    </row>
    <row r="23" spans="1:8">
      <c r="A23" s="2" t="s">
        <v>165</v>
      </c>
      <c r="B23" s="2" t="s">
        <v>166</v>
      </c>
      <c r="C23" s="2" t="s">
        <v>167</v>
      </c>
      <c r="D23" s="2" t="s">
        <v>168</v>
      </c>
      <c r="E23" s="2" t="s">
        <v>169</v>
      </c>
      <c r="F23" s="2" t="s">
        <v>141</v>
      </c>
      <c r="G23" s="2" t="s">
        <v>132</v>
      </c>
    </row>
    <row r="24" spans="1:8">
      <c r="A24" t="s">
        <v>184</v>
      </c>
      <c r="B24" t="s">
        <v>185</v>
      </c>
      <c r="C24" s="6">
        <f>'(经营性&amp;金融性)资产&amp;负债结构分析'!C22</f>
        <v>0</v>
      </c>
      <c r="D24" s="6">
        <f>'(经营性&amp;金融性)资产&amp;负债结构分析'!D22</f>
        <v>0</v>
      </c>
      <c r="E24" s="6">
        <f>'(经营性&amp;金融性)资产&amp;负债结构分析'!E22</f>
        <v>0</v>
      </c>
      <c r="F24" t="s">
        <v>186</v>
      </c>
    </row>
    <row r="25" spans="1:8">
      <c r="A25" t="s">
        <v>184</v>
      </c>
      <c r="B25" t="s">
        <v>187</v>
      </c>
      <c r="C25" s="6">
        <f>'(经营性&amp;金融性)资产&amp;负债结构分析'!C23</f>
        <v>0</v>
      </c>
      <c r="D25" s="6">
        <f>'(经营性&amp;金融性)资产&amp;负债结构分析'!D23</f>
        <v>0</v>
      </c>
      <c r="E25" s="6">
        <f>'(经营性&amp;金融性)资产&amp;负债结构分析'!E23</f>
        <v>0</v>
      </c>
      <c r="F25" t="s">
        <v>186</v>
      </c>
    </row>
    <row r="26" spans="1:8">
      <c r="A26" t="s">
        <v>188</v>
      </c>
      <c r="B26" t="s">
        <v>189</v>
      </c>
      <c r="C26" s="6">
        <f>'(经营性&amp;金融性)资产&amp;负债结构分析'!I22</f>
        <v>0</v>
      </c>
      <c r="D26" s="6">
        <f>'(经营性&amp;金融性)资产&amp;负债结构分析'!J22</f>
        <v>0</v>
      </c>
      <c r="E26" s="6">
        <f>'(经营性&amp;金融性)资产&amp;负债结构分析'!K22</f>
        <v>0</v>
      </c>
      <c r="F26" t="s">
        <v>186</v>
      </c>
    </row>
    <row r="27" spans="1:8">
      <c r="A27" t="s">
        <v>188</v>
      </c>
      <c r="B27" t="s">
        <v>190</v>
      </c>
      <c r="C27" s="6">
        <f>'(经营性&amp;金融性)资产&amp;负债结构分析'!I23</f>
        <v>0</v>
      </c>
      <c r="D27" s="6">
        <f>'(经营性&amp;金融性)资产&amp;负债结构分析'!J23</f>
        <v>0</v>
      </c>
      <c r="E27" s="6">
        <f>'(经营性&amp;金融性)资产&amp;负债结构分析'!K23</f>
        <v>0</v>
      </c>
      <c r="F27" t="s">
        <v>186</v>
      </c>
    </row>
  </sheetData>
  <mergeCells count="3">
    <mergeCell ref="A4:H4"/>
    <mergeCell ref="A13:H13"/>
    <mergeCell ref="A22:H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1" width="12.7109375" customWidth="1"/>
    <col min="2" max="2" width="35.7109375" customWidth="1"/>
    <col min="3" max="5" width="20.7109375" customWidth="1"/>
    <col min="6" max="6" width="8.7109375" customWidth="1"/>
    <col min="7" max="7" width="30.7109375" customWidth="1"/>
  </cols>
  <sheetData>
    <row r="1" spans="1:8">
      <c r="A1" s="7" t="s">
        <v>162</v>
      </c>
    </row>
    <row r="2" spans="1:8">
      <c r="A2" s="8" t="s">
        <v>191</v>
      </c>
    </row>
    <row r="4" spans="1:8">
      <c r="A4" s="1" t="s">
        <v>192</v>
      </c>
      <c r="B4" s="1"/>
      <c r="C4" s="1"/>
      <c r="D4" s="1"/>
      <c r="E4" s="1"/>
      <c r="F4" s="1"/>
      <c r="G4" s="1"/>
      <c r="H4" s="1"/>
    </row>
    <row r="5" spans="1:8">
      <c r="A5" s="2" t="s">
        <v>165</v>
      </c>
      <c r="B5" s="2" t="s">
        <v>166</v>
      </c>
      <c r="C5" s="2" t="s">
        <v>167</v>
      </c>
      <c r="D5" s="2" t="s">
        <v>168</v>
      </c>
      <c r="E5" s="2" t="s">
        <v>169</v>
      </c>
      <c r="F5" s="2" t="s">
        <v>141</v>
      </c>
      <c r="G5" s="2" t="s">
        <v>132</v>
      </c>
    </row>
    <row r="6" spans="1:8">
      <c r="A6" t="s">
        <v>193</v>
      </c>
      <c r="B6" t="s">
        <v>53</v>
      </c>
      <c r="C6" s="3">
        <v>913789000000</v>
      </c>
      <c r="D6" s="3">
        <v>880355000000</v>
      </c>
      <c r="E6" s="3">
        <v>1180444000000</v>
      </c>
      <c r="F6" t="s">
        <v>143</v>
      </c>
      <c r="G6" t="s">
        <v>194</v>
      </c>
    </row>
    <row r="7" spans="1:8">
      <c r="A7" t="s">
        <v>195</v>
      </c>
      <c r="B7" t="s">
        <v>56</v>
      </c>
      <c r="C7" s="3">
        <v>0</v>
      </c>
      <c r="D7" s="3">
        <v>0</v>
      </c>
      <c r="E7" s="3">
        <v>0</v>
      </c>
      <c r="F7" t="s">
        <v>143</v>
      </c>
      <c r="G7" t="s">
        <v>196</v>
      </c>
    </row>
    <row r="8" spans="1:8">
      <c r="A8" t="s">
        <v>195</v>
      </c>
      <c r="B8" t="s">
        <v>59</v>
      </c>
      <c r="C8" s="3">
        <v>792936000000</v>
      </c>
      <c r="D8" s="3">
        <v>737516000000</v>
      </c>
      <c r="E8" s="3">
        <v>1040759000000</v>
      </c>
      <c r="F8" t="s">
        <v>143</v>
      </c>
    </row>
    <row r="9" spans="1:8">
      <c r="A9" t="s">
        <v>197</v>
      </c>
      <c r="B9" t="s">
        <v>62</v>
      </c>
      <c r="C9" s="3">
        <v>3665000000</v>
      </c>
      <c r="D9" s="3">
        <v>3414000000</v>
      </c>
      <c r="E9" s="3">
        <v>4570000000</v>
      </c>
      <c r="F9" t="s">
        <v>143</v>
      </c>
    </row>
    <row r="10" spans="1:8">
      <c r="A10" t="s">
        <v>197</v>
      </c>
      <c r="B10" t="s">
        <v>65</v>
      </c>
      <c r="C10" s="3">
        <v>0</v>
      </c>
      <c r="D10" s="3">
        <v>0</v>
      </c>
      <c r="E10" s="3">
        <v>0</v>
      </c>
      <c r="F10" t="s">
        <v>143</v>
      </c>
      <c r="G10" t="s">
        <v>198</v>
      </c>
    </row>
    <row r="11" spans="1:8">
      <c r="A11" t="s">
        <v>197</v>
      </c>
      <c r="B11" t="s">
        <v>67</v>
      </c>
      <c r="C11" s="3">
        <v>80212000000</v>
      </c>
      <c r="D11" s="3">
        <v>76401000000</v>
      </c>
      <c r="E11" s="3">
        <v>172597000000</v>
      </c>
      <c r="F11" t="s">
        <v>143</v>
      </c>
      <c r="G11" t="s">
        <v>199</v>
      </c>
    </row>
    <row r="12" spans="1:8">
      <c r="A12" t="s">
        <v>197</v>
      </c>
      <c r="B12" t="s">
        <v>69</v>
      </c>
      <c r="C12" s="3">
        <v>0</v>
      </c>
      <c r="D12" s="3">
        <v>0</v>
      </c>
      <c r="E12" s="3">
        <v>0</v>
      </c>
      <c r="F12" t="s">
        <v>143</v>
      </c>
    </row>
    <row r="13" spans="1:8">
      <c r="A13" t="s">
        <v>197</v>
      </c>
      <c r="B13" t="s">
        <v>71</v>
      </c>
      <c r="C13" s="3">
        <v>0</v>
      </c>
      <c r="D13" s="3">
        <v>0</v>
      </c>
      <c r="E13" s="3">
        <v>0</v>
      </c>
      <c r="F13" t="s">
        <v>143</v>
      </c>
      <c r="G13" t="s">
        <v>200</v>
      </c>
    </row>
    <row r="14" spans="1:8">
      <c r="A14" t="s">
        <v>201</v>
      </c>
      <c r="B14" t="s">
        <v>202</v>
      </c>
      <c r="C14" s="3">
        <v>120853000000</v>
      </c>
      <c r="D14" s="3">
        <v>142839000000</v>
      </c>
      <c r="E14" s="3">
        <v>139685000000</v>
      </c>
      <c r="F14" t="s">
        <v>143</v>
      </c>
    </row>
    <row r="15" spans="1:8">
      <c r="A15" t="s">
        <v>201</v>
      </c>
      <c r="B15" t="s">
        <v>144</v>
      </c>
      <c r="C15" s="3">
        <v>109274000000</v>
      </c>
      <c r="D15" s="3">
        <v>134817000000</v>
      </c>
      <c r="E15" s="3">
        <v>121802000000</v>
      </c>
      <c r="F15" t="s">
        <v>143</v>
      </c>
      <c r="G15" t="s">
        <v>203</v>
      </c>
    </row>
    <row r="16" spans="1:8">
      <c r="A16" t="s">
        <v>201</v>
      </c>
      <c r="B16" t="s">
        <v>64</v>
      </c>
      <c r="F16" t="s">
        <v>143</v>
      </c>
      <c r="G16" t="s">
        <v>204</v>
      </c>
    </row>
    <row r="18" spans="1:8">
      <c r="A18" s="1" t="s">
        <v>205</v>
      </c>
      <c r="B18" s="1"/>
      <c r="C18" s="1"/>
      <c r="D18" s="1"/>
      <c r="E18" s="1"/>
      <c r="F18" s="1"/>
      <c r="G18" s="1"/>
      <c r="H18" s="1"/>
    </row>
    <row r="19" spans="1:8">
      <c r="A19" s="2" t="s">
        <v>165</v>
      </c>
      <c r="B19" s="2" t="s">
        <v>166</v>
      </c>
      <c r="C19" s="2" t="s">
        <v>167</v>
      </c>
      <c r="D19" s="2" t="s">
        <v>168</v>
      </c>
      <c r="E19" s="2" t="s">
        <v>169</v>
      </c>
      <c r="F19" s="2" t="s">
        <v>141</v>
      </c>
      <c r="G19" s="2" t="s">
        <v>132</v>
      </c>
    </row>
    <row r="20" spans="1:8">
      <c r="A20" t="s">
        <v>119</v>
      </c>
      <c r="B20" t="s">
        <v>93</v>
      </c>
      <c r="C20" s="6">
        <v>1</v>
      </c>
      <c r="D20" s="6">
        <v>1</v>
      </c>
      <c r="E20" s="6">
        <v>1</v>
      </c>
      <c r="F20" t="s">
        <v>186</v>
      </c>
      <c r="G20" t="s">
        <v>206</v>
      </c>
    </row>
    <row r="21" spans="1:8">
      <c r="A21" t="s">
        <v>119</v>
      </c>
      <c r="B21" t="s">
        <v>96</v>
      </c>
      <c r="C21" s="6">
        <v>0.11958340492170512</v>
      </c>
      <c r="D21" s="6">
        <v>0.1531393585542196</v>
      </c>
      <c r="E21" s="6">
        <v>0.10318320902982267</v>
      </c>
      <c r="F21" t="s">
        <v>186</v>
      </c>
    </row>
    <row r="22" spans="1:8">
      <c r="A22" t="s">
        <v>119</v>
      </c>
      <c r="B22" t="s">
        <v>207</v>
      </c>
      <c r="C22" s="6">
        <v>0.11958340492170512</v>
      </c>
      <c r="D22" s="6">
        <v>0.1531393585542196</v>
      </c>
      <c r="E22" s="6">
        <v>0.10318320902982267</v>
      </c>
      <c r="F22" t="s">
        <v>186</v>
      </c>
    </row>
    <row r="24" spans="1:8">
      <c r="A24" s="1" t="s">
        <v>208</v>
      </c>
      <c r="B24" s="1"/>
      <c r="C24" s="1"/>
      <c r="D24" s="1"/>
      <c r="E24" s="1"/>
      <c r="F24" s="1"/>
      <c r="G24" s="1"/>
      <c r="H24" s="1"/>
    </row>
    <row r="25" spans="1:8">
      <c r="A25" s="2" t="s">
        <v>165</v>
      </c>
      <c r="B25" s="2" t="s">
        <v>166</v>
      </c>
      <c r="C25" s="2" t="s">
        <v>167</v>
      </c>
      <c r="D25" s="2" t="s">
        <v>168</v>
      </c>
      <c r="E25" s="2" t="s">
        <v>169</v>
      </c>
      <c r="F25" s="2" t="s">
        <v>141</v>
      </c>
      <c r="G25" s="2" t="s">
        <v>132</v>
      </c>
    </row>
    <row r="26" spans="1:8">
      <c r="A26" t="s">
        <v>209</v>
      </c>
      <c r="B26" t="s">
        <v>114</v>
      </c>
      <c r="C26" s="3">
        <v>-4.988807444677802</v>
      </c>
      <c r="D26" s="3">
        <v>-0.42032484906524087</v>
      </c>
      <c r="E26" t="s">
        <v>115</v>
      </c>
      <c r="F26" t="s">
        <v>210</v>
      </c>
      <c r="G26" t="s">
        <v>211</v>
      </c>
    </row>
    <row r="27" spans="1:8">
      <c r="A27" t="s">
        <v>209</v>
      </c>
      <c r="B27" t="s">
        <v>116</v>
      </c>
      <c r="C27" s="3">
        <v>1</v>
      </c>
      <c r="D27" s="3">
        <v>1</v>
      </c>
      <c r="E27" s="3">
        <v>1</v>
      </c>
      <c r="F27" t="s">
        <v>210</v>
      </c>
      <c r="G27" t="s">
        <v>212</v>
      </c>
    </row>
    <row r="28" spans="1:8">
      <c r="A28" t="s">
        <v>209</v>
      </c>
      <c r="B28" t="s">
        <v>117</v>
      </c>
      <c r="C28" s="3">
        <v>-4.988807444677802</v>
      </c>
      <c r="D28" s="3">
        <v>-0.42032484906524087</v>
      </c>
      <c r="E28" t="s">
        <v>115</v>
      </c>
      <c r="F28" t="s">
        <v>210</v>
      </c>
      <c r="G28" t="s">
        <v>213</v>
      </c>
    </row>
    <row r="30" spans="1:8">
      <c r="A30" s="1" t="s">
        <v>214</v>
      </c>
      <c r="B30" s="1"/>
      <c r="C30" s="1"/>
      <c r="D30" s="1"/>
      <c r="E30" s="1"/>
      <c r="F30" s="1"/>
      <c r="G30" s="1"/>
      <c r="H30" s="1"/>
    </row>
    <row r="31" spans="1:8">
      <c r="A31" s="2" t="s">
        <v>165</v>
      </c>
      <c r="B31" s="2" t="s">
        <v>166</v>
      </c>
      <c r="C31" s="2" t="s">
        <v>167</v>
      </c>
      <c r="D31" s="2" t="s">
        <v>168</v>
      </c>
      <c r="E31" s="2" t="s">
        <v>169</v>
      </c>
      <c r="F31" s="2" t="s">
        <v>141</v>
      </c>
      <c r="G31" s="2" t="s">
        <v>132</v>
      </c>
    </row>
    <row r="32" spans="1:8">
      <c r="A32" t="s">
        <v>215</v>
      </c>
      <c r="B32" t="s">
        <v>57</v>
      </c>
      <c r="C32" s="3">
        <v>360403000000</v>
      </c>
      <c r="D32" s="3">
        <v>476776000000</v>
      </c>
      <c r="E32" s="3">
        <v>90116000000</v>
      </c>
      <c r="F32" t="s">
        <v>143</v>
      </c>
      <c r="G32" t="s">
        <v>216</v>
      </c>
    </row>
    <row r="33" spans="1:6">
      <c r="A33" t="s">
        <v>217</v>
      </c>
      <c r="B33" t="s">
        <v>66</v>
      </c>
      <c r="C33" s="3">
        <v>-104001000000</v>
      </c>
      <c r="D33" s="3">
        <v>-215760000000</v>
      </c>
      <c r="E33" s="3">
        <v>27933000000</v>
      </c>
      <c r="F33" t="s">
        <v>143</v>
      </c>
    </row>
    <row r="34" spans="1:6">
      <c r="A34" t="s">
        <v>218</v>
      </c>
      <c r="B34" t="s">
        <v>80</v>
      </c>
      <c r="C34" s="3">
        <v>-222056000000</v>
      </c>
      <c r="D34" s="3">
        <v>-230873000000</v>
      </c>
      <c r="E34" s="3">
        <v>-136412000000</v>
      </c>
      <c r="F34" t="s">
        <v>143</v>
      </c>
    </row>
    <row r="35" spans="1:6">
      <c r="A35" t="s">
        <v>219</v>
      </c>
      <c r="B35" t="s">
        <v>220</v>
      </c>
      <c r="C35" s="3">
        <v>7810000000</v>
      </c>
      <c r="D35" s="3">
        <v>8871000000</v>
      </c>
      <c r="E35" s="3">
        <v>12186000000</v>
      </c>
      <c r="F35" t="s">
        <v>143</v>
      </c>
    </row>
  </sheetData>
  <mergeCells count="4">
    <mergeCell ref="A4:H4"/>
    <mergeCell ref="A18:H18"/>
    <mergeCell ref="A24:H24"/>
    <mergeCell ref="A30:H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1" max="1" width="12.7109375" customWidth="1"/>
    <col min="2" max="2" width="30.7109375" customWidth="1"/>
    <col min="3" max="5" width="20.7109375" customWidth="1"/>
    <col min="6" max="6" width="8.7109375" customWidth="1"/>
    <col min="7" max="7" width="30.7109375" customWidth="1"/>
  </cols>
  <sheetData>
    <row r="1" spans="1:8">
      <c r="A1" s="7" t="s">
        <v>162</v>
      </c>
    </row>
    <row r="2" spans="1:8">
      <c r="A2" s="8" t="s">
        <v>221</v>
      </c>
    </row>
    <row r="4" spans="1:8">
      <c r="A4" s="1" t="s">
        <v>222</v>
      </c>
      <c r="B4" s="1"/>
      <c r="C4" s="1"/>
      <c r="D4" s="1"/>
      <c r="E4" s="1"/>
      <c r="F4" s="1"/>
      <c r="G4" s="1"/>
      <c r="H4" s="1"/>
    </row>
    <row r="5" spans="1:8">
      <c r="A5" s="2" t="s">
        <v>165</v>
      </c>
      <c r="B5" s="2" t="s">
        <v>166</v>
      </c>
      <c r="C5" s="2" t="s">
        <v>167</v>
      </c>
      <c r="D5" s="2" t="s">
        <v>168</v>
      </c>
      <c r="E5" s="2" t="s">
        <v>169</v>
      </c>
      <c r="F5" s="2" t="s">
        <v>141</v>
      </c>
      <c r="G5" s="2" t="s">
        <v>132</v>
      </c>
    </row>
    <row r="6" spans="1:8">
      <c r="A6" t="s">
        <v>119</v>
      </c>
      <c r="B6" t="s">
        <v>120</v>
      </c>
      <c r="C6" s="6">
        <v>0.08891554187103935</v>
      </c>
      <c r="D6" s="6">
        <v>0.1136740764724333</v>
      </c>
      <c r="E6" s="6">
        <v>0.11301790905455297</v>
      </c>
      <c r="F6" t="s">
        <v>186</v>
      </c>
      <c r="G6" t="s">
        <v>223</v>
      </c>
    </row>
    <row r="7" spans="1:8">
      <c r="A7" t="s">
        <v>119</v>
      </c>
      <c r="B7" t="s">
        <v>121</v>
      </c>
      <c r="C7" s="6">
        <v>0.009433658479186237</v>
      </c>
      <c r="D7" s="6">
        <v>0.012245025858451544</v>
      </c>
      <c r="E7" s="6">
        <v>0.012009632000549003</v>
      </c>
      <c r="F7" t="s">
        <v>186</v>
      </c>
      <c r="G7" t="s">
        <v>224</v>
      </c>
    </row>
    <row r="8" spans="1:8">
      <c r="A8" t="s">
        <v>119</v>
      </c>
      <c r="B8" t="s">
        <v>207</v>
      </c>
      <c r="C8" s="6">
        <v>0.11958340492170512</v>
      </c>
      <c r="D8" s="6">
        <v>0.1531393585542196</v>
      </c>
      <c r="E8" s="6">
        <v>0.10318320902982267</v>
      </c>
      <c r="F8" t="s">
        <v>186</v>
      </c>
    </row>
    <row r="9" spans="1:8">
      <c r="A9" t="s">
        <v>119</v>
      </c>
      <c r="B9" t="s">
        <v>93</v>
      </c>
      <c r="C9" s="6">
        <v>1</v>
      </c>
      <c r="D9" s="6">
        <v>1</v>
      </c>
      <c r="E9" s="6">
        <v>1</v>
      </c>
      <c r="F9" t="s">
        <v>186</v>
      </c>
      <c r="G9" t="s">
        <v>206</v>
      </c>
    </row>
    <row r="11" spans="1:8">
      <c r="A11" s="1" t="s">
        <v>225</v>
      </c>
      <c r="B11" s="1"/>
      <c r="C11" s="1"/>
      <c r="D11" s="1"/>
      <c r="E11" s="1"/>
      <c r="F11" s="1"/>
      <c r="G11" s="1"/>
      <c r="H11" s="1"/>
    </row>
    <row r="12" spans="1:8">
      <c r="A12" s="2" t="s">
        <v>165</v>
      </c>
      <c r="B12" s="2" t="s">
        <v>166</v>
      </c>
      <c r="C12" s="2" t="s">
        <v>167</v>
      </c>
      <c r="D12" s="2" t="s">
        <v>168</v>
      </c>
      <c r="E12" s="2" t="s">
        <v>169</v>
      </c>
      <c r="F12" s="2" t="s">
        <v>141</v>
      </c>
      <c r="G12" s="2" t="s">
        <v>132</v>
      </c>
    </row>
    <row r="13" spans="1:8">
      <c r="A13" t="s">
        <v>226</v>
      </c>
      <c r="B13" t="s">
        <v>227</v>
      </c>
      <c r="C13" s="6">
        <v>0.8939031548290112</v>
      </c>
      <c r="D13" s="6">
        <v>0.8922795219592478</v>
      </c>
      <c r="E13" s="6">
        <v>0.8937369121317575</v>
      </c>
      <c r="F13" t="s">
        <v>186</v>
      </c>
      <c r="G13" t="s">
        <v>228</v>
      </c>
    </row>
    <row r="15" spans="1:8">
      <c r="A15" s="1" t="s">
        <v>229</v>
      </c>
      <c r="B15" s="1"/>
      <c r="C15" s="1"/>
      <c r="D15" s="1"/>
      <c r="E15" s="1"/>
      <c r="F15" s="1"/>
      <c r="G15" s="1"/>
      <c r="H15" s="1"/>
    </row>
    <row r="16" spans="1:8">
      <c r="A16" s="2" t="s">
        <v>165</v>
      </c>
      <c r="B16" s="2" t="s">
        <v>166</v>
      </c>
      <c r="C16" s="2" t="s">
        <v>167</v>
      </c>
      <c r="D16" s="2" t="s">
        <v>168</v>
      </c>
      <c r="E16" s="2" t="s">
        <v>169</v>
      </c>
      <c r="F16" s="2" t="s">
        <v>141</v>
      </c>
      <c r="G16" s="2" t="s">
        <v>132</v>
      </c>
    </row>
    <row r="17" spans="1:7">
      <c r="A17" t="s">
        <v>230</v>
      </c>
      <c r="B17" t="s">
        <v>5</v>
      </c>
      <c r="C17" s="3">
        <v>577212000000</v>
      </c>
      <c r="D17" s="3">
        <v>613737000000</v>
      </c>
      <c r="E17" s="3">
        <v>535067000000</v>
      </c>
      <c r="F17" t="s">
        <v>143</v>
      </c>
      <c r="G17" t="s">
        <v>170</v>
      </c>
    </row>
    <row r="18" spans="1:7">
      <c r="A18" t="s">
        <v>230</v>
      </c>
      <c r="B18" t="s">
        <v>7</v>
      </c>
      <c r="C18" s="3">
        <v>0</v>
      </c>
      <c r="D18" s="3">
        <v>0</v>
      </c>
      <c r="E18" s="3">
        <v>0</v>
      </c>
      <c r="F18" t="s">
        <v>143</v>
      </c>
      <c r="G18" t="s">
        <v>172</v>
      </c>
    </row>
    <row r="19" spans="1:7">
      <c r="A19" t="s">
        <v>230</v>
      </c>
      <c r="B19" t="s">
        <v>9</v>
      </c>
      <c r="C19" s="3">
        <v>47412000000</v>
      </c>
      <c r="D19" s="3">
        <v>49941000000</v>
      </c>
      <c r="E19" s="3">
        <v>45823000000</v>
      </c>
      <c r="F19" t="s">
        <v>143</v>
      </c>
      <c r="G19" t="s">
        <v>173</v>
      </c>
    </row>
    <row r="20" spans="1:7">
      <c r="A20" t="s">
        <v>230</v>
      </c>
      <c r="B20" t="s">
        <v>122</v>
      </c>
      <c r="C20" s="3">
        <v>11583417000000</v>
      </c>
      <c r="D20" s="3">
        <v>11009940000000</v>
      </c>
      <c r="E20" s="3">
        <v>10142026000000</v>
      </c>
      <c r="F20" t="s">
        <v>143</v>
      </c>
      <c r="G20" t="s">
        <v>176</v>
      </c>
    </row>
    <row r="21" spans="1:7">
      <c r="A21" t="s">
        <v>201</v>
      </c>
      <c r="B21" t="s">
        <v>144</v>
      </c>
      <c r="C21" s="3">
        <v>109274000000</v>
      </c>
      <c r="D21" s="3">
        <v>134817000000</v>
      </c>
      <c r="E21" s="3">
        <v>121802000000</v>
      </c>
      <c r="F21" t="s">
        <v>143</v>
      </c>
      <c r="G21" t="s">
        <v>203</v>
      </c>
    </row>
    <row r="22" spans="1:7">
      <c r="A22" t="s">
        <v>231</v>
      </c>
      <c r="B22" t="s">
        <v>57</v>
      </c>
      <c r="C22" s="3">
        <v>360403000000</v>
      </c>
      <c r="D22" s="3">
        <v>476776000000</v>
      </c>
      <c r="E22" s="3">
        <v>90116000000</v>
      </c>
      <c r="F22" t="s">
        <v>143</v>
      </c>
      <c r="G22" t="s">
        <v>216</v>
      </c>
    </row>
  </sheetData>
  <mergeCells count="3">
    <mergeCell ref="A4:H4"/>
    <mergeCell ref="A11:H11"/>
    <mergeCell ref="A15:H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0.7109375" customWidth="1"/>
  </cols>
  <sheetData>
    <row r="1" spans="1:4">
      <c r="A1" s="7" t="s">
        <v>162</v>
      </c>
    </row>
    <row r="2" spans="1:4">
      <c r="A2" s="8" t="s">
        <v>232</v>
      </c>
    </row>
    <row r="4" spans="1:4">
      <c r="A4" s="9" t="s">
        <v>233</v>
      </c>
      <c r="B4" s="9"/>
      <c r="C4" s="9"/>
      <c r="D4" s="9"/>
    </row>
    <row r="5" spans="1:4">
      <c r="A5" s="2" t="s">
        <v>130</v>
      </c>
      <c r="B5" s="2" t="s">
        <v>131</v>
      </c>
      <c r="C5" s="2" t="s">
        <v>141</v>
      </c>
      <c r="D5" s="2" t="s">
        <v>132</v>
      </c>
    </row>
    <row r="6" spans="1:4">
      <c r="A6" t="s">
        <v>87</v>
      </c>
      <c r="B6" s="6">
        <v>0.08</v>
      </c>
      <c r="C6" t="s">
        <v>186</v>
      </c>
    </row>
    <row r="7" spans="1:4">
      <c r="A7" t="s">
        <v>134</v>
      </c>
      <c r="B7" s="6">
        <v>0.04</v>
      </c>
      <c r="C7" t="s">
        <v>186</v>
      </c>
    </row>
    <row r="8" spans="1:4">
      <c r="A8" t="s">
        <v>90</v>
      </c>
      <c r="B8" s="6">
        <v>-0.1</v>
      </c>
      <c r="C8" t="s">
        <v>186</v>
      </c>
    </row>
    <row r="9" spans="1:4">
      <c r="A9" t="s">
        <v>107</v>
      </c>
      <c r="B9" s="6">
        <v>0.1</v>
      </c>
      <c r="C9" t="s">
        <v>186</v>
      </c>
    </row>
    <row r="10" spans="1:4">
      <c r="A10" t="s">
        <v>136</v>
      </c>
      <c r="B10" s="6">
        <v>0.04</v>
      </c>
      <c r="C10" t="s">
        <v>186</v>
      </c>
      <c r="D10" t="s">
        <v>234</v>
      </c>
    </row>
    <row r="11" spans="1:4">
      <c r="A11" t="s">
        <v>137</v>
      </c>
      <c r="B11" s="6">
        <v>0.02</v>
      </c>
      <c r="C11" t="s">
        <v>186</v>
      </c>
      <c r="D11" t="s">
        <v>235</v>
      </c>
    </row>
    <row r="13" spans="1:4">
      <c r="A13" s="9" t="s">
        <v>138</v>
      </c>
      <c r="B13" s="9"/>
      <c r="C13" s="9"/>
      <c r="D13" s="9"/>
    </row>
    <row r="14" spans="1:4">
      <c r="A14" s="2" t="s">
        <v>139</v>
      </c>
      <c r="B14" s="2" t="s">
        <v>140</v>
      </c>
      <c r="C14" s="2" t="s">
        <v>141</v>
      </c>
      <c r="D14" s="2" t="s">
        <v>132</v>
      </c>
    </row>
    <row r="15" spans="1:4">
      <c r="A15" t="s">
        <v>142</v>
      </c>
      <c r="B15" s="3">
        <v>352593000000</v>
      </c>
      <c r="C15" t="s">
        <v>143</v>
      </c>
      <c r="D15" t="s">
        <v>236</v>
      </c>
    </row>
    <row r="16" spans="1:4">
      <c r="A16" t="s">
        <v>144</v>
      </c>
      <c r="B16" s="3">
        <v>109274000000</v>
      </c>
      <c r="C16" t="s">
        <v>143</v>
      </c>
      <c r="D16" t="s">
        <v>203</v>
      </c>
    </row>
    <row r="17" spans="1:4">
      <c r="A17" t="s">
        <v>92</v>
      </c>
      <c r="B17" s="3">
        <v>18210000000</v>
      </c>
      <c r="C17" t="s">
        <v>145</v>
      </c>
      <c r="D17" t="s">
        <v>237</v>
      </c>
    </row>
    <row r="19" spans="1:4">
      <c r="A19" s="9" t="s">
        <v>238</v>
      </c>
      <c r="B19" s="9"/>
      <c r="C19" s="9"/>
      <c r="D19" s="9"/>
    </row>
    <row r="20" spans="1:4">
      <c r="A20" s="2" t="s">
        <v>147</v>
      </c>
      <c r="B20" s="2" t="s">
        <v>148</v>
      </c>
      <c r="C20" s="2" t="s">
        <v>141</v>
      </c>
      <c r="D20" s="2" t="s">
        <v>132</v>
      </c>
    </row>
    <row r="21" spans="1:4">
      <c r="A21" t="s">
        <v>149</v>
      </c>
      <c r="B21" s="3">
        <f>B15*(1+B8)/(MAX(B6-B7,0.0001))</f>
        <v>0</v>
      </c>
      <c r="C21" t="s">
        <v>143</v>
      </c>
      <c r="D21" t="s">
        <v>239</v>
      </c>
    </row>
    <row r="22" spans="1:4">
      <c r="A22" t="s">
        <v>150</v>
      </c>
      <c r="B22" s="3">
        <f>B21/B17</f>
        <v>0</v>
      </c>
      <c r="C22" t="s">
        <v>151</v>
      </c>
      <c r="D22" t="s">
        <v>240</v>
      </c>
    </row>
    <row r="23" spans="1:4">
      <c r="A23" t="s">
        <v>152</v>
      </c>
      <c r="B23" s="3">
        <f>B16*(1+B9)*(1/MAX(B10,0.0001))/B17</f>
        <v>0</v>
      </c>
      <c r="C23" t="s">
        <v>151</v>
      </c>
      <c r="D23" t="s">
        <v>241</v>
      </c>
    </row>
    <row r="24" spans="1:4">
      <c r="A24" t="s">
        <v>153</v>
      </c>
      <c r="B24" s="3">
        <f>B16*(1+B9)*(1/MAX(B11,0.0001))/B17</f>
        <v>0</v>
      </c>
      <c r="C24" t="s">
        <v>151</v>
      </c>
      <c r="D24" t="s">
        <v>242</v>
      </c>
    </row>
    <row r="25" spans="1:4">
      <c r="A25" t="s">
        <v>154</v>
      </c>
      <c r="B25" s="3">
        <f>(B23+B24)/2</f>
        <v>0</v>
      </c>
      <c r="C25" t="s">
        <v>151</v>
      </c>
    </row>
  </sheetData>
  <mergeCells count="3">
    <mergeCell ref="A4:D4"/>
    <mergeCell ref="A13:D13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资产&amp;负债结构分析</vt:lpstr>
      <vt:lpstr>(经营性&amp;金融性)资产&amp;负债结构分析</vt:lpstr>
      <vt:lpstr>利润&amp;现金流结构分析</vt:lpstr>
      <vt:lpstr>综合实力分析</vt:lpstr>
      <vt:lpstr>资产负债表分析视角</vt:lpstr>
      <vt:lpstr>敏感性分析</vt:lpstr>
      <vt:lpstr>资产负债表分析(优化版)</vt:lpstr>
      <vt:lpstr>利润&amp;现金流分析(优化版)</vt:lpstr>
      <vt:lpstr>综合实力分析(优化版)</vt:lpstr>
      <vt:lpstr>敏感性分析(优化版)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2026-02-11T08:15:42Z</dcterms:created>
  <dcterms:modified xsi:type="dcterms:W3CDTF">2026-02-11T08:15:42Z</dcterms:modified>
</cp:coreProperties>
</file>